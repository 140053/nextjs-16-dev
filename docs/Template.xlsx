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1570" windowHeight="10815" activeTab="1"/>
  </bookViews>
  <sheets>
    <sheet name="Collection Profile Template" sheetId="1" r:id="rId1"/>
    <sheet name="List of Library Holdings Temp" sheetId="3" r:id="rId2"/>
    <sheet name="5 Year Edition Template" sheetId="4" r:id="rId3"/>
  </sheets>
  <definedNames>
    <definedName name="citation" localSheetId="1">'List of Library Holdings Temp'!$D$441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6" i="1" l="1"/>
  <c r="U67" i="1"/>
  <c r="U68" i="1"/>
  <c r="U69" i="1"/>
  <c r="U70" i="1"/>
  <c r="U71" i="1"/>
  <c r="U73" i="1"/>
  <c r="U74" i="1"/>
  <c r="U75" i="1"/>
  <c r="U76" i="1"/>
  <c r="U77" i="1"/>
  <c r="V80" i="1" l="1"/>
  <c r="U47" i="1"/>
  <c r="U80" i="1"/>
  <c r="W74" i="1"/>
  <c r="W75" i="1"/>
  <c r="W76" i="1"/>
  <c r="W80" i="1" s="1"/>
  <c r="W77" i="1"/>
  <c r="W73" i="1"/>
  <c r="W67" i="1"/>
  <c r="W68" i="1"/>
  <c r="W69" i="1"/>
  <c r="W70" i="1"/>
  <c r="W71" i="1"/>
  <c r="W66" i="1"/>
  <c r="W60" i="1"/>
  <c r="W61" i="1"/>
  <c r="W62" i="1"/>
  <c r="W63" i="1"/>
  <c r="W64" i="1"/>
  <c r="W59" i="1"/>
  <c r="W51" i="1"/>
  <c r="W52" i="1"/>
  <c r="W53" i="1"/>
  <c r="W54" i="1"/>
  <c r="W55" i="1"/>
  <c r="W56" i="1"/>
  <c r="W57" i="1"/>
  <c r="W50" i="1"/>
  <c r="W42" i="1"/>
  <c r="W43" i="1"/>
  <c r="W44" i="1"/>
  <c r="W45" i="1"/>
  <c r="W46" i="1"/>
  <c r="W47" i="1"/>
  <c r="W48" i="1"/>
  <c r="W41" i="1"/>
  <c r="W32" i="1"/>
  <c r="W33" i="1"/>
  <c r="W34" i="1"/>
  <c r="W35" i="1"/>
  <c r="W36" i="1"/>
  <c r="W37" i="1"/>
  <c r="W38" i="1"/>
  <c r="W39" i="1"/>
  <c r="W31" i="1"/>
  <c r="W22" i="1"/>
  <c r="W23" i="1"/>
  <c r="W24" i="1"/>
  <c r="W25" i="1"/>
  <c r="W26" i="1"/>
  <c r="W27" i="1"/>
  <c r="W28" i="1"/>
  <c r="W29" i="1"/>
  <c r="W21" i="1"/>
  <c r="H486" i="3"/>
  <c r="H432" i="3"/>
  <c r="H154" i="3"/>
  <c r="V77" i="1"/>
  <c r="V76" i="1"/>
  <c r="V75" i="1"/>
  <c r="V74" i="1"/>
  <c r="V73" i="1"/>
  <c r="V71" i="1"/>
  <c r="V70" i="1"/>
  <c r="V69" i="1"/>
  <c r="V68" i="1"/>
  <c r="V67" i="1"/>
  <c r="V66" i="1"/>
  <c r="V64" i="1"/>
  <c r="U64" i="1"/>
  <c r="V63" i="1"/>
  <c r="U63" i="1"/>
  <c r="V62" i="1"/>
  <c r="U62" i="1"/>
  <c r="V61" i="1"/>
  <c r="U61" i="1"/>
  <c r="V60" i="1"/>
  <c r="U60" i="1"/>
  <c r="V59" i="1"/>
  <c r="U59" i="1"/>
  <c r="V57" i="1"/>
  <c r="U57" i="1"/>
  <c r="V56" i="1"/>
  <c r="U56" i="1"/>
  <c r="V55" i="1"/>
  <c r="U55" i="1"/>
  <c r="V54" i="1"/>
  <c r="U54" i="1"/>
  <c r="V53" i="1"/>
  <c r="U53" i="1"/>
  <c r="V52" i="1"/>
  <c r="U52" i="1"/>
  <c r="V51" i="1"/>
  <c r="U51" i="1"/>
  <c r="V50" i="1"/>
  <c r="U50" i="1"/>
  <c r="V48" i="1"/>
  <c r="U48" i="1"/>
  <c r="V47" i="1"/>
  <c r="V46" i="1"/>
  <c r="U46" i="1"/>
  <c r="V45" i="1"/>
  <c r="U45" i="1"/>
  <c r="V44" i="1"/>
  <c r="U44" i="1"/>
  <c r="V43" i="1"/>
  <c r="U43" i="1"/>
  <c r="V42" i="1"/>
  <c r="U42" i="1"/>
  <c r="V41" i="1"/>
  <c r="U41" i="1"/>
  <c r="V39" i="1"/>
  <c r="U39" i="1"/>
  <c r="V38" i="1"/>
  <c r="U38" i="1"/>
  <c r="V37" i="1"/>
  <c r="U37" i="1"/>
  <c r="V36" i="1"/>
  <c r="U36" i="1"/>
  <c r="V35" i="1"/>
  <c r="U35" i="1"/>
  <c r="V34" i="1"/>
  <c r="U34" i="1"/>
  <c r="V33" i="1"/>
  <c r="U33" i="1"/>
  <c r="V32" i="1"/>
  <c r="U32" i="1"/>
  <c r="V31" i="1"/>
  <c r="U31" i="1"/>
  <c r="V29" i="1"/>
  <c r="U29" i="1"/>
  <c r="V28" i="1"/>
  <c r="U28" i="1"/>
  <c r="V27" i="1"/>
  <c r="U27" i="1"/>
  <c r="V26" i="1"/>
  <c r="U26" i="1"/>
  <c r="V25" i="1"/>
  <c r="U25" i="1"/>
  <c r="V24" i="1"/>
  <c r="U24" i="1"/>
  <c r="V23" i="1"/>
  <c r="U23" i="1"/>
  <c r="V22" i="1"/>
  <c r="U22" i="1"/>
  <c r="V21" i="1"/>
  <c r="U21" i="1"/>
</calcChain>
</file>

<file path=xl/sharedStrings.xml><?xml version="1.0" encoding="utf-8"?>
<sst xmlns="http://schemas.openxmlformats.org/spreadsheetml/2006/main" count="3597" uniqueCount="1633">
  <si>
    <t>LIBRARY COLLECTION PROFILE</t>
  </si>
  <si>
    <t>Title</t>
  </si>
  <si>
    <t>WITHIN PRESCRIBED YEAR COPYRIGHT</t>
  </si>
  <si>
    <t>TOTAL</t>
  </si>
  <si>
    <t>Printed</t>
  </si>
  <si>
    <t>E-books</t>
  </si>
  <si>
    <t>SUBJECTS</t>
  </si>
  <si>
    <t>DESCRIPTION</t>
  </si>
  <si>
    <t>T</t>
  </si>
  <si>
    <t>V</t>
  </si>
  <si>
    <t>FIRST SEMESTER(1st year)</t>
  </si>
  <si>
    <t>GEC 1</t>
  </si>
  <si>
    <t>Science, Technology and Society</t>
  </si>
  <si>
    <t>GEC 2</t>
  </si>
  <si>
    <t>Mathematics in the Modern World</t>
  </si>
  <si>
    <t>GEC 3</t>
  </si>
  <si>
    <t>Understanding the Self</t>
  </si>
  <si>
    <t>GEC 4</t>
  </si>
  <si>
    <t>Ethics</t>
  </si>
  <si>
    <t>GEC 5</t>
  </si>
  <si>
    <t>Purposive Communication</t>
  </si>
  <si>
    <t>GEC 6</t>
  </si>
  <si>
    <t>Readings in Philippine History</t>
  </si>
  <si>
    <t>ENG 3</t>
  </si>
  <si>
    <t>Scientific Writing &amp; Bus. Correspondence</t>
  </si>
  <si>
    <t>Pathfit 1</t>
  </si>
  <si>
    <t>Movement Competency Training</t>
  </si>
  <si>
    <t>NSTP/ ROTC</t>
  </si>
  <si>
    <t xml:space="preserve"> (ROTC)</t>
  </si>
  <si>
    <t>SECOND SEMESTER(1st Year)</t>
  </si>
  <si>
    <t>GEC 7</t>
  </si>
  <si>
    <t>The Contemporary World</t>
  </si>
  <si>
    <t>GEC 8</t>
  </si>
  <si>
    <t>Art Appreciation</t>
  </si>
  <si>
    <t xml:space="preserve">GEC 9 </t>
  </si>
  <si>
    <t>Life and Works of Rizal</t>
  </si>
  <si>
    <t>GEC 10</t>
  </si>
  <si>
    <t>AGF 100</t>
  </si>
  <si>
    <t>Introduction to Agroforestry</t>
  </si>
  <si>
    <t>ANSC 1</t>
  </si>
  <si>
    <t>CRSC 1</t>
  </si>
  <si>
    <t xml:space="preserve">Introduction to Agronomic Production </t>
  </si>
  <si>
    <t>Pathfit 2</t>
  </si>
  <si>
    <t>Exercise Based Fitness Activity</t>
  </si>
  <si>
    <t>NSTP</t>
  </si>
  <si>
    <t>ROTC 2</t>
  </si>
  <si>
    <t>FIRST SEMESTER(2nd year)</t>
  </si>
  <si>
    <t>ANSCI 2</t>
  </si>
  <si>
    <t>Introduction to LiveStock and Poultry Production</t>
  </si>
  <si>
    <t>CRSC 2</t>
  </si>
  <si>
    <t>Fundamentals of Holticulture</t>
  </si>
  <si>
    <t>COMSCI</t>
  </si>
  <si>
    <t>Basic Computer Science</t>
  </si>
  <si>
    <t>CHEM 1</t>
  </si>
  <si>
    <t>Inorganic Chemistry</t>
  </si>
  <si>
    <t>AGF101</t>
  </si>
  <si>
    <t>Mechanical Drawing</t>
  </si>
  <si>
    <t>AGF 103</t>
  </si>
  <si>
    <t>Agroforestry Taxanomy</t>
  </si>
  <si>
    <t>GEC 11</t>
  </si>
  <si>
    <t>Environmental Science</t>
  </si>
  <si>
    <t>PATHFIT 3</t>
  </si>
  <si>
    <t>Dance</t>
  </si>
  <si>
    <t>SECOND SEMESTER(2nd Year)</t>
  </si>
  <si>
    <t>CHEM 2</t>
  </si>
  <si>
    <t>Organic Chemistry</t>
  </si>
  <si>
    <t>SOIL 1</t>
  </si>
  <si>
    <t>Principles of Soil Science</t>
  </si>
  <si>
    <t>AGF 105</t>
  </si>
  <si>
    <t>Fundamentals of Surveying and Mapping</t>
  </si>
  <si>
    <t>AGF 107</t>
  </si>
  <si>
    <t>Applied Sociology</t>
  </si>
  <si>
    <t>STAT 1</t>
  </si>
  <si>
    <t xml:space="preserve">Elementary Statistics </t>
  </si>
  <si>
    <t>SOCSC 4</t>
  </si>
  <si>
    <t>General Economics with Taxation and Agrarian Reform</t>
  </si>
  <si>
    <t>AGF 125</t>
  </si>
  <si>
    <t>Agroforestry Governance, Policies and Projects</t>
  </si>
  <si>
    <t>PATHFIT 4</t>
  </si>
  <si>
    <t>Sports</t>
  </si>
  <si>
    <t>FIRST SEMESTER (3rd Year)</t>
  </si>
  <si>
    <t>IPM</t>
  </si>
  <si>
    <t>Integrated Pest Management</t>
  </si>
  <si>
    <t>AGF 104</t>
  </si>
  <si>
    <t>Applied Plant Physiology for Agroforestry</t>
  </si>
  <si>
    <t>AGF 106</t>
  </si>
  <si>
    <t>Agroforestry Ecology</t>
  </si>
  <si>
    <t>AGF 110</t>
  </si>
  <si>
    <t>Community Organizing</t>
  </si>
  <si>
    <t>AGF 145</t>
  </si>
  <si>
    <t>Agroforestry Research Methods</t>
  </si>
  <si>
    <t>ELEC 1</t>
  </si>
  <si>
    <t>Major Elective 1(AGEC,ABUS,AGEX Subjects)</t>
  </si>
  <si>
    <t>SECOND SEMESTER(3rd Year)</t>
  </si>
  <si>
    <t>GEC 12</t>
  </si>
  <si>
    <t>Entrepreneurial Mind</t>
  </si>
  <si>
    <t>AGF 102</t>
  </si>
  <si>
    <t xml:space="preserve">Agroforestry Nursery Management </t>
  </si>
  <si>
    <t>AGF 135</t>
  </si>
  <si>
    <t xml:space="preserve">Soil &amp; Water Conservation </t>
  </si>
  <si>
    <t>AGF 115</t>
  </si>
  <si>
    <t>Diagnosis, Design &amp; Appraisal of Agroforestry</t>
  </si>
  <si>
    <t>ELEC 2</t>
  </si>
  <si>
    <t xml:space="preserve">Major Elective 2/Disaster Risk Management </t>
  </si>
  <si>
    <t>AGF 190</t>
  </si>
  <si>
    <t>Seminar in Agroforestry</t>
  </si>
  <si>
    <t>AGF 200</t>
  </si>
  <si>
    <t>Entrepreneurship or Thesis</t>
  </si>
  <si>
    <t>FIRST SEMESTER (4th Year)</t>
  </si>
  <si>
    <t>AGF 120</t>
  </si>
  <si>
    <t>Industrial Agroforestry Project Planning and Management</t>
  </si>
  <si>
    <t>AGF 130</t>
  </si>
  <si>
    <t>Agroforestry Production and Management Systems</t>
  </si>
  <si>
    <t>AGF 140</t>
  </si>
  <si>
    <t>Entrepreneurship in Agroforestry</t>
  </si>
  <si>
    <t>AGF 150</t>
  </si>
  <si>
    <t>Agrforestry Extension Models and Approaches</t>
  </si>
  <si>
    <t>ELEC 3</t>
  </si>
  <si>
    <t>Major Elective 3(Resource Management/ Biodiversity Conservation and Management)</t>
  </si>
  <si>
    <t>SECOND SEMESTER (4th Year)</t>
  </si>
  <si>
    <t>Prepared by:</t>
  </si>
  <si>
    <t>IRENEO M. DELOS SANTOS JR.</t>
  </si>
  <si>
    <t>Reviewed by:</t>
  </si>
  <si>
    <r>
      <rPr>
        <sz val="14"/>
        <color theme="1"/>
        <rFont val="Arial"/>
        <family val="2"/>
      </rPr>
      <t xml:space="preserve">Republic of the Philippines
CENTRAL BICOL STATE UNIVERSITY OF AGRICULTURE
Impig, Sipocot, Camarines Sur 4408
Website: </t>
    </r>
    <r>
      <rPr>
        <i/>
        <u/>
        <sz val="14"/>
        <color theme="4"/>
        <rFont val="Arial"/>
        <family val="2"/>
      </rPr>
      <t>www.cbsua.edu.ph</t>
    </r>
    <r>
      <rPr>
        <sz val="14"/>
        <color theme="1"/>
        <rFont val="Arial"/>
        <family val="2"/>
      </rPr>
      <t xml:space="preserve">
Email Address: </t>
    </r>
    <r>
      <rPr>
        <i/>
        <u/>
        <sz val="14"/>
        <color theme="4"/>
        <rFont val="Arial"/>
        <family val="2"/>
      </rPr>
      <t>cbsua.sipocot@cbsua.edu.ph</t>
    </r>
    <r>
      <rPr>
        <sz val="14"/>
        <color theme="1"/>
        <rFont val="Arial"/>
        <family val="2"/>
      </rPr>
      <t xml:space="preserve">
Trunkline: (054) 881-6681</t>
    </r>
  </si>
  <si>
    <t>LIBRARY HOLDINGS</t>
  </si>
  <si>
    <t>FIRST YEAR - 1st Semester</t>
  </si>
  <si>
    <t>GEC 1: SCIENCE, TECHNOLOGY AND SOCIETY</t>
  </si>
  <si>
    <t xml:space="preserve">No. </t>
  </si>
  <si>
    <t xml:space="preserve">Call No. </t>
  </si>
  <si>
    <t>Author</t>
  </si>
  <si>
    <t>Link</t>
  </si>
  <si>
    <t>Copyright Date</t>
  </si>
  <si>
    <t>Accession Number</t>
  </si>
  <si>
    <t>No. of Copies</t>
  </si>
  <si>
    <t>Ebook</t>
  </si>
  <si>
    <t>T. Kavitha</t>
  </si>
  <si>
    <t>Internet of Everything: Smart Sensing Technologies</t>
  </si>
  <si>
    <t>https://research.ebsco.com/c/fcl55w/search/details/vmau5yes5r?db=e000xww%2Cnlebk%2Cagp%2Cofm%2Cddu&amp;limiters=DT1%3A2019-11-26%2F2024-11-26&amp;q=internet%20of%20everything</t>
  </si>
  <si>
    <t>UA</t>
  </si>
  <si>
    <t>Adele Kuzmiakova</t>
  </si>
  <si>
    <t>Introduction to Computer Science and Technology</t>
  </si>
  <si>
    <t>https://research.ebsco.com/c/fcl55w/search/details/4r3t5rppjv?db=e000xww%2Cnlebk%2Cagp%2Cofm%2Cddu&amp;limiters=DT1%3A2019-11-26%2F2024-11-26&amp;q=introduction%20to%20computer%20science%20and%20technology</t>
  </si>
  <si>
    <t>Endarto Y. Wardhono</t>
  </si>
  <si>
    <t>Broad Exposure to Science and Technology</t>
  </si>
  <si>
    <t>https://research.ebsco.com/c/fcl55w/search/details/bwlseirzuz?db=e000xww%2Cnlebk%2Cagp%2Cofm%2Cddu&amp;limiters=DT1%3A2019-11-26%2F2024-11-26&amp;q=Broad%20exposure%20to%20science%20and%20technology</t>
  </si>
  <si>
    <t>K. Chandra Babu, Naidu;N. Suresh, Kumar</t>
  </si>
  <si>
    <t>Applications of Advanced Ceramics in Science, Technology, and Medicine</t>
  </si>
  <si>
    <t>https://research.ebsco.com/c/fcl55w/search/details/zgebqnzp4j?db=e000xww%2Cnlebk%2Cagp%2Cofm%2Cddu&amp;limiters=DT1%3A2014-11-26%2F2024-11-26&amp;q=Applications%20of%20Advanced%20Ceramics%20in%20Science%2C%20Technology%2C%20and%20Medicine</t>
  </si>
  <si>
    <t>Karim, Ennouri</t>
  </si>
  <si>
    <t>Emerging Technologies in Agriculture and Food Science</t>
  </si>
  <si>
    <t>https://research.ebsco.com/c/fcl55w/search/details/53l7by4ldz?db=e000xww%2Cnlebk%2Cagp%2Cofm%2Cddu&amp;limiters=DT1%3A2014-11-26%2F2024-11-26&amp;q=Emerging%20Technologies%20in%20Agriculture%20and%20Food%20Science</t>
  </si>
  <si>
    <t>Cir 303.48 Q7s 2019</t>
  </si>
  <si>
    <t>Quinto, Edward Jay M.</t>
  </si>
  <si>
    <t>Science, Technology, and Society Outcome-Based Module (Courseware Ready)</t>
  </si>
  <si>
    <t>2019-26798
2019-26799
2019-26800</t>
  </si>
  <si>
    <t>Cir 303.48 P949s 2019</t>
  </si>
  <si>
    <t>Prieto, Nelia G.</t>
  </si>
  <si>
    <t>Science, Technology, and Society</t>
  </si>
  <si>
    <t>2019-26642
2019-26643
2019-26644</t>
  </si>
  <si>
    <t>GEC 2: MATHEMATICS IN THE MODERN WORLD</t>
  </si>
  <si>
    <t>ebook</t>
  </si>
  <si>
    <t>Patrick M. Jenlink</t>
  </si>
  <si>
    <t>Mathematics As the Science of Patterns: Making the Invisible Visible to Students Through Teaching</t>
  </si>
  <si>
    <t>https://research.ebsco.com/c/fcl55w/search/details/pcibxxp4fz?db=e000xww%2Cnlebk%2Cagp%2Cofm%2Cddu&amp;limiters=DT1%3A2014-11-26%2F2024-11-26&amp;q=Mathematics%20As%20the%20Science%20of%20Patterns%3A%20Making%20the%20Invisible%20Visible%20to%20Students%20Through%20Teaching</t>
  </si>
  <si>
    <t>Denisse R Thompson.</t>
  </si>
  <si>
    <t>International Perspectives on
Mathematics Teacher
Education</t>
  </si>
  <si>
    <t>https://research.ebsco.com/c/fcl55w/search/details/oq6o7kk3zz?db=e000xww%2Cnlebk%2Cagp%2Cofm%2Cddu&amp;limiters=DT1%3A2014-11-26%2F2024-11-26&amp;q=International%20Perspectives%20on%20Mathematics%20Teacher%20Education</t>
  </si>
  <si>
    <t>Stefano Spezia</t>
  </si>
  <si>
    <t>Mathematics Education :
History and Research</t>
  </si>
  <si>
    <t>https://research.ebsco.com/c/fcl55w/search/details/n3a64vrtoz?db=e000xww%2Cnlebk%2Cagp%2Cofm%2Cddu&amp;limiters=DT1%3A2014-11-26%2F2024-11-26&amp;q=Mathematics%20Education%20%3A%20History%20and%20Research</t>
  </si>
  <si>
    <t>Cir 510 D146 2019</t>
  </si>
  <si>
    <t>Daligdig</t>
  </si>
  <si>
    <t>2019-26645
2019-26646
2019-26647</t>
  </si>
  <si>
    <t>Cir  510 M279c 2019</t>
  </si>
  <si>
    <t>Manlulu, Esmeralda A.</t>
  </si>
  <si>
    <t>Course Module: Mathematics in the Modern World</t>
  </si>
  <si>
    <t>2019-26880
2019-26881
2019-26882</t>
  </si>
  <si>
    <t>GEC 3: UNDERSTANDING THE SELF</t>
  </si>
  <si>
    <t>Natalia Kucirkova</t>
  </si>
  <si>
    <t>The Future of the Self : Understanding Personalization in Childhood and Beyond</t>
  </si>
  <si>
    <t>https://research.ebsco.com/c/fcl55w/search/details/trqk276z3b?db=e000xww%2Cnlebk%2Cagp%2Cofm%2Cddu&amp;limiters=DT1%3A2014-11-26%2F2024-11-26&amp;q=The%20Future%20of%20the%20Self%20%3A%20Understanding%20Personalization%20in%20Childhood%20and%20Beyond</t>
  </si>
  <si>
    <t>Justin L. Barrett</t>
  </si>
  <si>
    <t>Thriving with Stone Age Minds : Evolutionary Psychology, Christian Faith, and the Quest for Human Flourishing</t>
  </si>
  <si>
    <t>https://research.ebsco.com/c/fcl55w/search/details/rv5f7puqsz?db=e000xww%2Cnlebk%2Cagp%2Cofm%2Cddu&amp;limiters=DT1%3A2014-11-26%2F2024-11-26&amp;q=Thriving%20with%20Stone%20Age%20Minds%20%3A%20Evolutionary%20Psychology%2C%20Christian%20Faith%2C%20and%20the%20Quest%20for%20Human%20Flourishing</t>
  </si>
  <si>
    <t>Isabelle Albert</t>
  </si>
  <si>
    <t>Families and Family Values in Society and Culture</t>
  </si>
  <si>
    <t>https://research.ebsco.com/c/fcl55w/search/details/ebayfiqmxz?db=e000xww%2Cnlebk%2Cagp%2Cofm%2Cddu&amp;limiters=DT1%3A2014-11-26%2F2024-11-26&amp;q=Families%20and%20Family%20Values%20in%20Society%20and%20Culture.</t>
  </si>
  <si>
    <t>Lloyd Hawkeye Robertson</t>
  </si>
  <si>
    <t>The Evolved Self : Mapping an Understanding of Who We Are</t>
  </si>
  <si>
    <t>https://research.ebsco.com/c/fcl55w/search/details/lkz4wrrblv?db=e000xww%2Cnlebk%2Cagp%2Cofm%2Cddu&amp;limiters=DT1%3A2014-11-26%2F2024-11-26&amp;q=The%20Evolved%C2%A0Self%C2%A0%3A%20Mapping%20an%C2%A0Understanding%C2%A0of%20Who%20We%20Are</t>
  </si>
  <si>
    <t>Sue L. Motulsky</t>
  </si>
  <si>
    <t>Identity and Lifelong Learning: Becoming Through Lived Experience</t>
  </si>
  <si>
    <t>https://research.ebsco.com/c/fcl55w/search/details/tlmvcuctwr?db=e000xww%2Cnlebk%2Cagp%2Cofm%2Cddu&amp;limiters=DT1%3A2014-11-26%2F2024-11-26&amp;q=I%20Am%20What%20I%20Become%3A%20Constructing%20Identities%20As%20a%20Lifelong%20Learners</t>
  </si>
  <si>
    <t>Cir 155.2 C822u 2019</t>
  </si>
  <si>
    <t>Corpuz, Ronald M.</t>
  </si>
  <si>
    <t>2019-26789
2019-26790
2019-26791</t>
  </si>
  <si>
    <t>Cir 155.2 M117u 2019</t>
  </si>
  <si>
    <t>Macayan, Jonathan Veran</t>
  </si>
  <si>
    <t>Understanding the Self Outcome-Based Module+ Courseware</t>
  </si>
  <si>
    <t>2019-26792
2019-26793
2019-26794</t>
  </si>
  <si>
    <t>Dimmock, Mark
Fisher, Andrew
Open Book Publishers</t>
  </si>
  <si>
    <t>Ethics for A-level</t>
  </si>
  <si>
    <t> 2017</t>
  </si>
  <si>
    <t>Brent Adkins</t>
  </si>
  <si>
    <t>A Guide to Ethics and Moral Philosophy</t>
  </si>
  <si>
    <t>GEC 4: ETHICS</t>
  </si>
  <si>
    <t>Jeffrey D. Sachs
Owen Flanagan
Marcelo Sánchez Sorondo
William Vendley
Anthony Annett
Jesse Thorson</t>
  </si>
  <si>
    <t>Ethics in Action for
Sustainable Development</t>
  </si>
  <si>
    <t>https://research.ebsco.com/c/fcl55w/search/details/wbdouavewj?db=e000xww%2Cnlebk%2Cagp%2Cofm%2Cddu&amp;limiters=DT1%3A2019-11-26%2F2024-11-26%2CFT%3AY&amp;q=Ethics%20in%20Action%20for%20Sustainable%20Development</t>
  </si>
  <si>
    <t>Axel Liégeois, Author</t>
  </si>
  <si>
    <t>Ethics of Care: Values, Virtues and Dialogue</t>
  </si>
  <si>
    <t>https://research.ebsco.com/c/fcl55w/search/details/yc3q45odkn?db=e000xww%2Cnlebk%2Cagp%2Cofm%2Cddu&amp;limiters=DT1%3A2019-11-26%2F2024-11-26%2CFT%3AY&amp;q=Ethics%20of%20Care%3A%20Values%2C%20Virtues%20and%20Dialogue</t>
  </si>
  <si>
    <t>Ronald R. Sims</t>
  </si>
  <si>
    <t>Human Resources Management and Ethics:
Responsibilities, Actions,
Issues, and Experiences</t>
  </si>
  <si>
    <t>https://research.ebsco.com/c/fcl55w/search/details/ibvfvwn74n?db=e000xww%2Cnlebk%2Cagp%2Cofm%2Cddu&amp;limiters=DT1%3A2019-11-26%2F2024-11-26%2CFT%3AY&amp;q=Human%20Resources%20Management%20and%20Ethics%3A%20Responsibilities%2C%20Actions%2C%20Issues%2C%20and%20Experiences</t>
  </si>
  <si>
    <t>Cir 170 C277f 2018</t>
  </si>
  <si>
    <t>Cariño, Jovito V.</t>
  </si>
  <si>
    <t>Fundamentals of Ethics</t>
  </si>
  <si>
    <t>2018-26496
2018-26497
2018-26498
2018-26499
2018-26500
2018-26501
2018-26502
2018-26503
2018-26504
2018-26505</t>
  </si>
  <si>
    <t>Cir 170 P281e 2018</t>
  </si>
  <si>
    <t>Pasco, Marc Oliver D.</t>
  </si>
  <si>
    <t>2018-26506
2018-26507
2018-26508
2018-26509
2018-26510
2018-26511
2018-26512
2018-26513
2018-26514
2018-26515</t>
  </si>
  <si>
    <t>Brian Besong</t>
  </si>
  <si>
    <t>An Introduction to Ethics : A Natural Law Approach</t>
  </si>
  <si>
    <t>Sokół, Jan</t>
  </si>
  <si>
    <t>Ethics, Life and Institutions : An Attempt at Practical Philosophy</t>
  </si>
  <si>
    <t>Cir 170 C387u 2015</t>
  </si>
  <si>
    <t>Cebreros, Nazario L.</t>
  </si>
  <si>
    <t>Universal Ethics and Contemporary Values</t>
  </si>
  <si>
    <t>2016-25220
2016-25221
2016-25222</t>
  </si>
  <si>
    <t>Cir 174 S132v 2015</t>
  </si>
  <si>
    <t>Saidali, Margarita R.</t>
  </si>
  <si>
    <t>Values and Work Ethics</t>
  </si>
  <si>
    <t>2016-25217
2016-25218
2016-25219</t>
  </si>
  <si>
    <t>Fil 170 T114s 2011</t>
  </si>
  <si>
    <t>Tabotabo, Claudio V.</t>
  </si>
  <si>
    <t>Standards of Human Conduct: Ethics for Filipinos</t>
  </si>
  <si>
    <t>2014-23571
2014-23572
2014-23573
2014-23574
2014-23575</t>
  </si>
  <si>
    <t>Cir 174.4 H333b 2008</t>
  </si>
  <si>
    <t>Hartman, Laura P.</t>
  </si>
  <si>
    <t>Business Ethics: Decision Making for Personal Integrity and Social Responsibility</t>
  </si>
  <si>
    <t>2012-23377
2012-23378</t>
  </si>
  <si>
    <t>Business Ethics: Decision-Making for Personal Integrity and Social Responsibility</t>
  </si>
  <si>
    <t>2011-22788
2011-22789
2011-22790</t>
  </si>
  <si>
    <t>Cir 174.4 H333p 2005</t>
  </si>
  <si>
    <t>Perspectives in Business Ethics</t>
  </si>
  <si>
    <t>2007-20069</t>
  </si>
  <si>
    <t>Cir 174 R173m 2004</t>
  </si>
  <si>
    <t>Ramirez, Luzviminda F.</t>
  </si>
  <si>
    <t>Man, Values and Work Ethics</t>
  </si>
  <si>
    <t>2008-21009
2008-21010
2008-21011
2008-21012
2008-21013
2008-21014
2008-21015
2008-21016
2008-21017
2008-21018
2008-21019
2008-21020
2008-21021
2008-21022
2008-21023
2008-21024
2008-21025
2008-21026
2008-21027
2008-21028
2008-21029
2008-21030
2008-21031
2008-21032
2008-21033
2008-21034
2008-21035
2008-21036
2008-21037
2008-21038
2008-21039
2008-21040
2008-21041
2008-21042
2008-21043</t>
  </si>
  <si>
    <t>Cir 174 A791v 2000</t>
  </si>
  <si>
    <t>Articulo, Archimedes C.</t>
  </si>
  <si>
    <t>2008-20939
2008-20940
2008-20941
2008-20942
2008-20943
2008-20944
2008-20945
2008-20946
2008-20947
2008-20948
2008-20949
2008-20950
2008-20951
2008-20952
2008-20953
2008-20954
2008-20955
2008-20956
2008-20957
2008-20958
2008-20959
2008-20960
2008-20961
2008-20962
2008-20963
2008-20964
2008-20965
2008-20966
2008-20967
2008-20968
2008-20969
2008-20970
2008-20971
2008-20972
2008-20973</t>
  </si>
  <si>
    <t>Cir 174.4 G722b 2000</t>
  </si>
  <si>
    <t>Gow, Carmelita M.</t>
  </si>
  <si>
    <t>Business Ethics</t>
  </si>
  <si>
    <t>2004-17991
2004-17992
2004-17993
2004-17994
2004-17995</t>
  </si>
  <si>
    <t>Cir 170 M777e 1985</t>
  </si>
  <si>
    <t>Montemayor, Felix M.</t>
  </si>
  <si>
    <t>Ethics: The Philosophy of Life</t>
  </si>
  <si>
    <t>2000-17094
2000-17095
2000-17096
2000-17097
2000-17098
2000-17099
2000-17100
2000-17101
2000-17102
2000-17103</t>
  </si>
  <si>
    <t>Cir 170 D291e 1993</t>
  </si>
  <si>
    <t>de Castro, Leonardo D.</t>
  </si>
  <si>
    <t>Ethics and Logic: Basic Concepts</t>
  </si>
  <si>
    <t>1995-11527
1995-11528
1995-11529
1995-11530
1995-11531
1995-11532
1995-11533
1995-11534
1995-11535
1995-11536</t>
  </si>
  <si>
    <t>Cir 170 P123e 1993</t>
  </si>
  <si>
    <t>Padilla, Reynaldo A.</t>
  </si>
  <si>
    <t>Ethics: Principles and Analysis of Contemporary Moral Problems</t>
  </si>
  <si>
    <t>1994-10000
1994-10001
1994-10002
1994-10003
1994-10004</t>
  </si>
  <si>
    <t>Cir 170.2 M696t 1993</t>
  </si>
  <si>
    <t>Moga, Michael D.</t>
  </si>
  <si>
    <t>Toward Authentic Morality: An Ethics Textbook for the Philippines</t>
  </si>
  <si>
    <t>2006-19744
2006-19745
2006-19746
2006-19747
2006-19748
2006-19749</t>
  </si>
  <si>
    <t>Cir 170 Q8f 1989</t>
  </si>
  <si>
    <t>Quito, Emerita S.</t>
  </si>
  <si>
    <t>Fundamentals of  Ethics</t>
  </si>
  <si>
    <t>1994-09992
1994-09993
1994-09994
1994-09995
1994-09996</t>
  </si>
  <si>
    <t>Cir 170 R457g 1989</t>
  </si>
  <si>
    <t>Reyes, Ramon C.</t>
  </si>
  <si>
    <t>Ground and Norm of Morality: Ethics for College Students</t>
  </si>
  <si>
    <t>2001-17318
2001-17319
2001-17320
2001-17321
2001-17322</t>
  </si>
  <si>
    <t>Ethics: The Science of Art and Life</t>
  </si>
  <si>
    <t>1995-11123
1995-11124
1995-11125
1995-11126
1995-11127
1995-11128</t>
  </si>
  <si>
    <t>GEC 5: PURPOSIVE COMMUNICATION</t>
  </si>
  <si>
    <t>Anne-Julia Zwierlein;Heidi Weig;Sebastian Graef</t>
  </si>
  <si>
    <t>Practices of Oral Performance in Manuals of Rhetoric, Journalism and Autobiography</t>
  </si>
  <si>
    <t>https://research.ebsco.com/c/fcl55w/search/details/b4v2h3mitf?db=e000xww%2Cnlebk%2Cagp%2Cofm%2Cddu&amp;limiters=DT1%3A2014-11-26%2F2024-11-26&amp;q=Practices%20of%20Oral%20Performance%20in%20Manuals%20of%20Rhetoric%2C%20Journalism%20and%20Autobiography</t>
  </si>
  <si>
    <t>Michael Byram</t>
  </si>
  <si>
    <t>Teaching and Assessing
Intercultural
Communicative
Competence: Revisited</t>
  </si>
  <si>
    <t>https://research.ebsco.com/c/fcl55w/search/details/dsrjubpz6v?db=e000xww%2Cnlebk%2Cagp%2Cofm%2Cddu&amp;limiters=DT1%3A2014-11-26%2F2024-11-26&amp;q=Teaching%20and%20Assessing%20Intercultural%20Communicative%20Competence%3A%20Revisited</t>
  </si>
  <si>
    <t>Cir 808 M183p 2018</t>
  </si>
  <si>
    <t>Ambida, Roger S.</t>
  </si>
  <si>
    <t>2019-26840
2019-26841</t>
  </si>
  <si>
    <t>Dr. Gary S. Goodman</t>
  </si>
  <si>
    <t>Crystal Clear Communication : How to Explain Anything Clearly in Speech or Writing</t>
  </si>
  <si>
    <t>https://research.ebsco.com/c/fcl55w/search/details/cueawxxydj?db=e000xww%2Cnlebk%2Cagp%2Cofm%2Cddu&amp;limiters=DT1%3A2014-11-26%2F2024-11-26&amp;q=Crystal%20Clear%C2%A0Communication%C2%A0%3A%20How%20to%20Explain%20Anything%20Clearly%20in%20Speech%20or%20Writing</t>
  </si>
  <si>
    <t>Crystal Clear Communication : How to Explain Anything Clearly in Speech or Writing</t>
  </si>
  <si>
    <t>https://research.ebsco.com/c/fcl55w/search/details/cueawxxydj?db=e000xww%2Cnlebk%2Cagp%2Cofm%2Cddu&amp;limiters=DT1%3A2014-11-27%2F2024-11-27&amp;q=Crystal%20Clear%C2%A0Communication%C2%A0%3A%20How%20to%20Explain%20Anything%20Clearly%20in%20Speech%20or%20Writing</t>
  </si>
  <si>
    <t>808.5/1</t>
  </si>
  <si>
    <t>Dale Carnegie</t>
  </si>
  <si>
    <t>Public Speaking to Win (Condensed Classics) : The Original Formula to Speaking with Power</t>
  </si>
  <si>
    <t>Cir 808 U97c 2018</t>
  </si>
  <si>
    <t>Uychoco, Marikit Tara A.</t>
  </si>
  <si>
    <t>2019-26890
2019-26891
2019-26892</t>
  </si>
  <si>
    <t>Dale Carnegie &amp; Associates</t>
  </si>
  <si>
    <t>Listen!: The Art of Effective Communication : The Art of Effective Communication</t>
  </si>
  <si>
    <t>Topher Morrison</t>
  </si>
  <si>
    <t>The Book on Public Speaking</t>
  </si>
  <si>
    <t>Stovall, Jim</t>
  </si>
  <si>
    <t>The Art of Communication : Your Competitive Edge</t>
  </si>
  <si>
    <t>GEC 6: READINGS IN PHILIPPINE HISTORY</t>
  </si>
  <si>
    <t>Colleen Woods</t>
  </si>
  <si>
    <t>Freedom Incorporated : Anticommunism and Philippine Independence in the Age of Decolonization</t>
  </si>
  <si>
    <t>https://research.ebsco.com/c/fcl55w/search/details/oscrnxd2j5?db=e000xww%2Cnlebk%2Cagp%2Cofm%2Cddu&amp;limiters=DT1%3A2014-11-26%2F2024-11-26&amp;q=Freedom%20Incorporated%20%3A%20Anticommunism%20and%C2%A0Philippine%C2%A0Independence%20in%20the%20Age%20of%20Decolonization</t>
  </si>
  <si>
    <t>Michael C. Hawkins</t>
  </si>
  <si>
    <t>Semi-Civilized : The Moro Village at the Louisiana Purchase Exposition</t>
  </si>
  <si>
    <t>https://research.ebsco.com/c/fcl55w/search/details/icu4luhcy5?db=e000xww%2Cnlebk%2Cagp%2Cofm%2Cddu&amp;limiters=DT1%3A2014-11-26%2F2024-11-26&amp;q=Semi-Civilized%20%3A%20The%20Moro%20Village%20at%20the%20Louisiana%20Purchase%20Exposition</t>
  </si>
  <si>
    <t>René Alexander D. Orquiza</t>
  </si>
  <si>
    <t>Taste of Control : Food and the Filipino Colonial Mentality Under American Rule</t>
  </si>
  <si>
    <t>https://research.ebsco.com/c/fcl55w/search/details/nizcxv4qzz?db=e000xww%2Cnlebk%2Cagp%2Cofm%2Cddu&amp;limiters=DT1%3A2014-11-26%2F2024-11-26&amp;q=Taste%20of%20Control%20%3A%20Food%20and%20the%20Filipino%20Colonial%20Mentality%20Under%20American%20Rule</t>
  </si>
  <si>
    <t>Nicole CuUnjieng Aboitiz</t>
  </si>
  <si>
    <t>Asian Place, Filipino Nation : A Global Intellectual History of the Philippine Revolution, 1887–1912</t>
  </si>
  <si>
    <t>https://research.ebsco.com/c/fcl55w/search/details/7n2himkjw5?db=e000xww%2Cnlebk%2Cagp%2Cofm%2Cddu&amp;limiters=DT1%3A2014-11-26%2F2024-11-26&amp;q=Asian%20Place%2C%20Filipino%20Nation%20%3A%20A%20Global%20Intellectual%20History%20of%20the%20Philippine%20Revolution%2C%201887%E2%80%931912</t>
  </si>
  <si>
    <t>https://research.ebsco.com/c/fcl55w/search/details/oscrnxd2j5?db=e000xww%2Cnlebk%2Cagp%2Cofm%2Cddu&amp;limiters=DT1%3A2014-11-26%2F2024-11-26&amp;q=Colleen%20Woods</t>
  </si>
  <si>
    <t>Kathleen Nadeau</t>
  </si>
  <si>
    <t>The History of the Philippines</t>
  </si>
  <si>
    <t>https://research.ebsco.com/c/fcl55w/search/details/p47e3pxmgn?db=e000xww%2Cnlebk%2Cagp%2Cofm%2Cddu&amp;limiters=DT1%3A2014-11-26%2F2024-11-26&amp;q=The%20History%20of%20the%20Philippines</t>
  </si>
  <si>
    <t>https://research.ebsco.com/c/fcl55w/search/details/7n2himkjw5?db=e000xww%2Cnlebk%2Cagp%2Cofm%2Cddu&amp;limiters=DT1%3A2014-11-26%2F2024-11-26&amp;q=Asian%20Place%2C%20Filipino%20Nation%20%3A%20A%20Global%20Intellectual%20History%20of%20the%20Philippine%20Revolution</t>
  </si>
  <si>
    <t>https://research.ebsco.com/c/fcl55w/search/details/icu4luhcy5?db=e000xww%2Cnlebk%2Cagp%2Cofm%2Cddu&amp;limiters=DT1%3A2014-11-27%2F2024-11-27&amp;q=Semi-Civilized%20%3A%20The%20Moro%20Village%20at%20the%20Louisiana%20Purchase%20Exposition</t>
  </si>
  <si>
    <t>Freedom Incorporated : Anticommunism and Philippine Independence in the Age of Decolonization</t>
  </si>
  <si>
    <t>https://research.ebsco.com/c/fcl55w/search/details/oscrnxd2j5?db=e000xww%2Cnlebk%2Cagp%2Cofm%2Cddu&amp;limiters=DT1%3A2014-11-27%2F2024-11-27&amp;q=Freedom%20Incorporated%20%3A%20Anticommunism%20and%C2%A0Philippine%C2%A0Independence%20in%20the%20Age%20of%20Decolonization</t>
  </si>
  <si>
    <t>https://research.ebsco.com/c/fcl55w/search/details/nizcxv4qzz?db=e000xww%2Cnlebk%2Cagp%2Cofm%2Cddu&amp;limiters=DT1%3A2014-11-27%2F2024-11-27&amp;q=Taste%20of%20Control%20%3A%20Food%20and%20the%20Filipino%20Colonial%20Mentality%20Under%20American%20Rule</t>
  </si>
  <si>
    <t>Fil 959.91 A861r 2019</t>
  </si>
  <si>
    <t>Asuncion, Nestor M.</t>
  </si>
  <si>
    <t>Readings in the Philippine History Outcome-Based Module (Courseware Ready)</t>
  </si>
  <si>
    <t xml:space="preserve">2019-26847
2019-26848
</t>
  </si>
  <si>
    <t>Fil 959.9 T693b 2018</t>
  </si>
  <si>
    <t>Torres, Jose Victor Z.</t>
  </si>
  <si>
    <t>Batis: Sources in Philippine History</t>
  </si>
  <si>
    <t>2018-26601
2018-26602
2018-26603
2018-26604
2018-26605
2018-26606
2018-26607
2018-26608
2018-26609
2018-26610</t>
  </si>
  <si>
    <t>Nicholas Trajano Molnar</t>
  </si>
  <si>
    <t>American Mestizos, The Philippines, and the Malleability of Race : 1898-1961</t>
  </si>
  <si>
    <t>201/.76369</t>
  </si>
  <si>
    <t>Sarita Echavez See</t>
  </si>
  <si>
    <t>The Filipino Primitive : Accumulation and Resistance in the American Museum</t>
  </si>
  <si>
    <t>338.1/95991609034</t>
  </si>
  <si>
    <t>Daniel F. Doeppers</t>
  </si>
  <si>
    <t>Feeding Manila in Peace and War, 1850–1945</t>
  </si>
  <si>
    <t>Fil 959.9 G216p 2015</t>
  </si>
  <si>
    <t>Garcia, Carlito D.</t>
  </si>
  <si>
    <t>Philippine History and Government for College Students</t>
  </si>
  <si>
    <t>2016-25471
2016-25472
2016-25473
2016-25474
2016-25475</t>
  </si>
  <si>
    <t>Cir 959.9 D615k 2014</t>
  </si>
  <si>
    <t>Ditchella, Michael J.</t>
  </si>
  <si>
    <t>Kasaysayan ng Pilipinas: Pagtanaw at Pag-unawa sa Nakaraan</t>
  </si>
  <si>
    <t>2016-25024
2016-25025
2016-25026
2016-25027
2016-25028
2016-25029
2016-25030
2016-25031
2016-25032
2016-25033</t>
  </si>
  <si>
    <t>Fil 959.91 C823p 2012</t>
  </si>
  <si>
    <t>Philippine History with Politics and Governance</t>
  </si>
  <si>
    <t>2014-23702
2014-23703
2014-23704
2014-23705
2014-23706
2014-23707
2014-23708
2014-23709
2014-23710
2014-23711</t>
  </si>
  <si>
    <t>Fil 959.9 C822p 2008</t>
  </si>
  <si>
    <t>Philippine History and Constitution</t>
  </si>
  <si>
    <t>2010-22141
2010-22142
2010-22143
2010-22144
2010-22145</t>
  </si>
  <si>
    <t>Fil 959.9 C822t 2008</t>
  </si>
  <si>
    <t>Time Travel: A Glimpse to Philippine History</t>
  </si>
  <si>
    <t>2010-22146
2010-22147
2010-22148
2010-22149
2010-22150</t>
  </si>
  <si>
    <t>Fil 959.9 O48p 2007</t>
  </si>
  <si>
    <t>Oliveros, Reynaldo</t>
  </si>
  <si>
    <t>Philippine History &amp; Government</t>
  </si>
  <si>
    <t>2010-22151</t>
  </si>
  <si>
    <t>Fil 959.9 G958p 1999</t>
  </si>
  <si>
    <t>Guillermo, Ramon</t>
  </si>
  <si>
    <t>Philippine History and Government</t>
  </si>
  <si>
    <t>2001-17300
2001-17301
2001-17302
2001-17303</t>
  </si>
  <si>
    <t>Fil 959.909 Z21p 1987</t>
  </si>
  <si>
    <t>Zaide, Gregorio F.</t>
  </si>
  <si>
    <t>1992-09517
1992-09518
1992-09519
1992-09520
1992-09521</t>
  </si>
  <si>
    <t>Fil 959.9 M265p 1986</t>
  </si>
  <si>
    <t>Mamot, Patricio R.</t>
  </si>
  <si>
    <t>People Power: Profile of Filipino Heroism</t>
  </si>
  <si>
    <t>2001-17730
2001-17731
2001-17732</t>
  </si>
  <si>
    <t>Fil 959.9 S238p v.2 1976</t>
  </si>
  <si>
    <t>San Vicente, Pedro O.</t>
  </si>
  <si>
    <t>Ang Pilipinas: Kasaysayan at Pamahalaan</t>
  </si>
  <si>
    <t xml:space="preserve">1989-06673
1989-06674
1989-06675
1989-06676
1989-06677
1989-06678
1989-06679
1989-06680
1989-06681
1989-06682
</t>
  </si>
  <si>
    <t>Fil 959.9 B126m 1975</t>
  </si>
  <si>
    <t>Baclagon, Uldarico S.</t>
  </si>
  <si>
    <t>Military History of the Philippines</t>
  </si>
  <si>
    <t>1983-00373
1983-00374
1983-00375
1983-00376
1983-00377
1983-00378
1983-00379
1983-00380</t>
  </si>
  <si>
    <t>ENG 3: SCIENTIFIC WRITING AND BUSINESS CORRESPONDENCE</t>
  </si>
  <si>
    <t>Cir
658.45
N551b
2019</t>
  </si>
  <si>
    <t>Newman, Amy</t>
  </si>
  <si>
    <t>Business Communication: In Person, In Print, Online</t>
  </si>
  <si>
    <t>2019-26831</t>
  </si>
  <si>
    <t>David Lindsay</t>
  </si>
  <si>
    <t>Scientific Writing = Thinking in Words</t>
  </si>
  <si>
    <t>Cir
808.066
L815b
2014</t>
  </si>
  <si>
    <t>Locker, Kitty O.</t>
  </si>
  <si>
    <t>Business Communication: Building Critical Skills</t>
  </si>
  <si>
    <t>2016-24749
2016-24750</t>
  </si>
  <si>
    <t>Cir
651.75
B277b
2018</t>
  </si>
  <si>
    <t>Barrot, Jessie S</t>
  </si>
  <si>
    <t>Business Corresponding with Style: A Guide to Effective Business English and Correspondence for College Students and Professionals</t>
  </si>
  <si>
    <t>2019-26836
2019-26837</t>
  </si>
  <si>
    <r>
      <rPr>
        <sz val="12"/>
        <color theme="1"/>
        <rFont val="Arial"/>
        <family val="2"/>
      </rPr>
      <t>No. of titles:</t>
    </r>
    <r>
      <rPr>
        <b/>
        <sz val="12"/>
        <color theme="1"/>
        <rFont val="Arial"/>
        <family val="2"/>
      </rPr>
      <t xml:space="preserve"> 5</t>
    </r>
  </si>
  <si>
    <r>
      <rPr>
        <sz val="12"/>
        <color theme="1"/>
        <rFont val="Arial"/>
        <family val="2"/>
      </rPr>
      <t>No. of copies:</t>
    </r>
    <r>
      <rPr>
        <b/>
        <sz val="12"/>
        <color theme="1"/>
        <rFont val="Arial"/>
        <family val="2"/>
      </rPr>
      <t xml:space="preserve"> 11</t>
    </r>
  </si>
  <si>
    <t>PATHFIT 1: Movement Competency Training</t>
  </si>
  <si>
    <t xml:space="preserve">
Tankha, Geotika</t>
  </si>
  <si>
    <t>Environmental Attitudes and Awareness : A Psychosocial Perspective</t>
  </si>
  <si>
    <t>Sharabi, Moshe</t>
  </si>
  <si>
    <t>Generational Differences in Work Values and Ethics : An International Perspective</t>
  </si>
  <si>
    <t xml:space="preserve">
Hodges, Michelle I.</t>
  </si>
  <si>
    <t>Psychology of Attitudes</t>
  </si>
  <si>
    <t>Cir
303.372
A561h
v.1
1994</t>
  </si>
  <si>
    <t>Andres, Tomas Quintin D.</t>
  </si>
  <si>
    <t>A Handbook of Values Education Strategies and Techniques for the Development of Intrapersonal Relationship</t>
  </si>
  <si>
    <t xml:space="preserve">1999-16125
1999-16126 
1999-16127 
1999-16128 
1999-16129 
1999-16130 </t>
  </si>
  <si>
    <t>Cir
303.372
A561h
v.2
1994</t>
  </si>
  <si>
    <t>A Handbook of Values Education Strategies and Techniques for the Development of Interpersonal Relationship</t>
  </si>
  <si>
    <t xml:space="preserve">1999-16119 
1999-16120 
1999-16121 
1999-16122 
1999-16123 
1999-16124 </t>
  </si>
  <si>
    <t>Cir
303.372
B352e
1994</t>
  </si>
  <si>
    <t>Bauzon, Prisciliano</t>
  </si>
  <si>
    <t>Essentials of Values Education</t>
  </si>
  <si>
    <t xml:space="preserve">2000-16778
2000-16779
</t>
  </si>
  <si>
    <t>Cir
303.372
B352e
2002</t>
  </si>
  <si>
    <t>2006-19767
2006-19768
2006-19769
2006-19770
2006-19771</t>
  </si>
  <si>
    <t>Cir
303.372
L321v
1999</t>
  </si>
  <si>
    <t>Lardizabal, Amparo S.</t>
  </si>
  <si>
    <t xml:space="preserve">Values Education </t>
  </si>
  <si>
    <t>1999-15841
1999-15852
1999-15843</t>
  </si>
  <si>
    <t>Cir
303.372
P163i
199</t>
  </si>
  <si>
    <t>Palispis, Epitacio S.</t>
  </si>
  <si>
    <t>Introduction to Values Education</t>
  </si>
  <si>
    <t>1995-11343
1995-11344
1995-11345
1995-11346
1995-11347
1995-11348
1995-11349
1995-11350
1995-11351
1995-11352
1995-11353
1995-11354</t>
  </si>
  <si>
    <t>Cir
303.372
P163i
1995</t>
  </si>
  <si>
    <t>1995-11355
1995-11356
1995-11357</t>
  </si>
  <si>
    <t>Cir
303.372
T583f
2003</t>
  </si>
  <si>
    <t>Timbreza, Florentino T.</t>
  </si>
  <si>
    <t>Filipino Values Today</t>
  </si>
  <si>
    <t>2006-19880
2006-19881
2006-19882
2006-19883
2006-19884</t>
  </si>
  <si>
    <r>
      <rPr>
        <sz val="12"/>
        <color theme="1"/>
        <rFont val="Arial"/>
        <family val="2"/>
      </rPr>
      <t>No. of titles:</t>
    </r>
    <r>
      <rPr>
        <b/>
        <sz val="12"/>
        <color theme="1"/>
        <rFont val="Arial"/>
        <family val="2"/>
      </rPr>
      <t xml:space="preserve"> 11</t>
    </r>
  </si>
  <si>
    <r>
      <rPr>
        <sz val="12"/>
        <color theme="1"/>
        <rFont val="Arial"/>
        <family val="2"/>
      </rPr>
      <t>No. of copies:</t>
    </r>
    <r>
      <rPr>
        <b/>
        <sz val="12"/>
        <color theme="1"/>
        <rFont val="Arial"/>
        <family val="2"/>
      </rPr>
      <t xml:space="preserve"> 45</t>
    </r>
  </si>
  <si>
    <t>NSTP 1:ROTC !</t>
  </si>
  <si>
    <t>Assoc. Prof. Michael Skerker</t>
  </si>
  <si>
    <t>Military Virtues</t>
  </si>
  <si>
    <t>Cir 355.22 L481n 2005</t>
  </si>
  <si>
    <t xml:space="preserve">Lee, Sergio J. </t>
  </si>
  <si>
    <t xml:space="preserve">National Service Training Program (NSTP) Civil Welfare Training Service(CWTS), Literacy Training Service (LTS) : A Sourcebook  </t>
  </si>
  <si>
    <t>2007-20061
2007-20062</t>
  </si>
  <si>
    <t>Cir 355.22 Q6s 2015</t>
  </si>
  <si>
    <t>Quilang, Alexander</t>
  </si>
  <si>
    <t>Summer Program: National Service Training Program</t>
  </si>
  <si>
    <t>2016-25049
2016-25050
2016-25051</t>
  </si>
  <si>
    <t xml:space="preserve">Fil
355.223
L481n
2019
</t>
  </si>
  <si>
    <t>Lee, Sergio G.</t>
  </si>
  <si>
    <t>National Service Training Program (NTSP) / Civic Welfare Training Service (CWTS) 1 / Literacy Training Service (LTS) 1: A Source Book</t>
  </si>
  <si>
    <t xml:space="preserve">2019-26801
2019-26802
2019-26803
</t>
  </si>
  <si>
    <t>Charles Russo</t>
  </si>
  <si>
    <t>Striking Distance : Bruce Lee and the Dawn of Martial Arts in America</t>
  </si>
  <si>
    <t> 2016</t>
  </si>
  <si>
    <t>Drid, Patrik</t>
  </si>
  <si>
    <t>Science and Medicine in Combat Sports</t>
  </si>
  <si>
    <t>John Eric Goff</t>
  </si>
  <si>
    <t>The Physics of Krav Maga</t>
  </si>
  <si>
    <t>https://research.ebsco.com/c/fcl55w/search/details/s7gkzwo7sb?db=e000xww%2Cnlebk%2Cagp%2Cofm%2Cddu&amp;limiters=DT1%3A2014-11-27%2F2024-11-27&amp;q=The%20Physics%20of%20Krav%20Maga</t>
  </si>
  <si>
    <t> 2019</t>
  </si>
  <si>
    <r>
      <rPr>
        <sz val="12"/>
        <color theme="1"/>
        <rFont val="Arial"/>
        <family val="2"/>
      </rPr>
      <t>No. of titles:</t>
    </r>
    <r>
      <rPr>
        <b/>
        <sz val="12"/>
        <color theme="1"/>
        <rFont val="Arial"/>
        <family val="2"/>
      </rPr>
      <t xml:space="preserve"> 9</t>
    </r>
  </si>
  <si>
    <r>
      <rPr>
        <sz val="12"/>
        <color theme="1"/>
        <rFont val="Arial"/>
        <family val="2"/>
      </rPr>
      <t>No. of copies:</t>
    </r>
    <r>
      <rPr>
        <b/>
        <sz val="12"/>
        <color theme="1"/>
        <rFont val="Arial"/>
        <family val="2"/>
      </rPr>
      <t xml:space="preserve"> 18</t>
    </r>
  </si>
  <si>
    <t>SECOND SEMESTER: FIRST YEAR</t>
  </si>
  <si>
    <t>GEC 7: THE CONTEMPORARY WORLD</t>
  </si>
  <si>
    <t>Bartosz Prabucki</t>
  </si>
  <si>
    <t>Traditional Sports and Games in the Contemporary World: The New Face of Sport?</t>
  </si>
  <si>
    <t>https://research.ebsco.com/c/fcl55w/search/details/ad2dpxvo3n?db=e000xww%2Cnlebk%2Cagp%2Cofm%2Cddu&amp;limiters=DT1%3A2014-11-26%2F2024-11-26&amp;q=Bartosz%20Prabucki</t>
  </si>
  <si>
    <t>Barbara Michalak-Pikulska</t>
  </si>
  <si>
    <t>Contemporary Arab World : Literary and Linguistic Issues</t>
  </si>
  <si>
    <t>https://research.ebsco.com/c/fcl55w/search/details/k6rxynxj55?db=e000xww%2Cnlebk%2Cagp%2Cofm%2Cddu&amp;limiters=DT1%3A2014-11-26%2F2024-11-26&amp;q=Contemporary%20Arab%20World</t>
  </si>
  <si>
    <t>Mitsugi Endo;Michael Neocosmos</t>
  </si>
  <si>
    <t>African Politics of Survival Extraversion and Informality in the Contemporary World</t>
  </si>
  <si>
    <t>https://research.ebsco.com/c/fcl55w/search/details/gtebhsfpb5?db=e000xww%2Cnlebk%2Cagp%2Cofm%2Cddu&amp;limiters=DT1%3A2014-11-26%2F2024-11-26&amp;q=African%20Politics%20</t>
  </si>
  <si>
    <t>Qin Hui;David Ownby</t>
  </si>
  <si>
    <t>Globalization After the Pandemic</t>
  </si>
  <si>
    <t>https://research.ebsco.com/c/fcl55w/search/details/bdwv56kcob?db=e000xww%2Cnlebk%2Cagp%2Cofm%2Cddu&amp;limiters=DT1%3A2014-11-26%2F2024-11-26&amp;q=Globalization%20after</t>
  </si>
  <si>
    <t>Adriano Fabris;Giovanni Scarafile</t>
  </si>
  <si>
    <t>Controversies in the Contemporary World</t>
  </si>
  <si>
    <t>https://research.ebsco.com/c/fcl55w/search/details/r3ms73vuv5?db=e000xww%2Cnlebk%2Cagp%2Cofm%2Cddu&amp;limiters=DT1%3A2014-11-27%2F2024-11-27&amp;q=Controversies%20in%20the%20Contemporary%20World</t>
  </si>
  <si>
    <t>Cir 909.83 B827c 2019</t>
  </si>
  <si>
    <t>Brazalote, Tumoroh C.</t>
  </si>
  <si>
    <t>The Contemporary World: An Outcome-Based Education Standard</t>
  </si>
  <si>
    <t>2019-26844
2019-26845
2019-26846</t>
  </si>
  <si>
    <r>
      <rPr>
        <sz val="12"/>
        <color theme="1"/>
        <rFont val="Arial"/>
        <family val="2"/>
      </rPr>
      <t>No. of copies:</t>
    </r>
    <r>
      <rPr>
        <b/>
        <sz val="12"/>
        <color theme="1"/>
        <rFont val="Arial"/>
        <family val="2"/>
      </rPr>
      <t xml:space="preserve"> 23</t>
    </r>
  </si>
  <si>
    <t>GEC 8: ART APPRECIATION</t>
  </si>
  <si>
    <t>Pamela N. Corey</t>
  </si>
  <si>
    <t>The City in Time : Contemporary Art and Urban Form in Vietnam and Cambodia</t>
  </si>
  <si>
    <t>https://research.ebsco.com/c/fcl55w/search/details/lrw3co7p35?db=e000xww%2Cnlebk%2Cagp%2Cofm%2Cddu&amp;limiters=DT1%3A2014-11-26%2F2024-11-26&amp;q=The%20City%20in%20Time</t>
  </si>
  <si>
    <t>Jason Miller</t>
  </si>
  <si>
    <t>The Politics of Perception and the Aesthetics of Social Change</t>
  </si>
  <si>
    <t>https://research.ebsco.com/c/fcl55w/search/details/4eelarfmkr?db=e000xww%2Cnlebk%2Cagp%2Cofm%2Cddu&amp;limiters=DT1%3A2014-11-26%2F2024-11-26&amp;q=The%20Politics%20of%20Perception</t>
  </si>
  <si>
    <t>Sharrell D. Luckett</t>
  </si>
  <si>
    <t>African American Arts : Activism, Aesthetics, and Futurity</t>
  </si>
  <si>
    <t>https://research.ebsco.com/c/fcl55w/search/details/7fdvd5smej?db=e000xww%2Cnlebk%2Cagp%2Cofm%2Cddu&amp;limiters=DT1%3A2014-11-26%2F2024-11-26&amp;q=african%20american%20arts</t>
  </si>
  <si>
    <t>Cir 700 C113h 2015</t>
  </si>
  <si>
    <t>Cabasaan, William J.</t>
  </si>
  <si>
    <t>Humanities: Philosophy and History of Art</t>
  </si>
  <si>
    <t>2016-25343
2016-25344
2016-25345</t>
  </si>
  <si>
    <t>Cir  700 C113h 2014</t>
  </si>
  <si>
    <t>2016-24762</t>
  </si>
  <si>
    <t>Cir 700 T114a 2013</t>
  </si>
  <si>
    <t>Art Appreciation: Introduction to the Humanities</t>
  </si>
  <si>
    <t>2016-25338
2016-25339
2016-25340
2016-25341
2016-25342</t>
  </si>
  <si>
    <t>Cir  700 T114a 2006</t>
  </si>
  <si>
    <t>2010-22030</t>
  </si>
  <si>
    <t>Cir  700 E821 1995</t>
  </si>
  <si>
    <t>Estolas, Josefina V.</t>
  </si>
  <si>
    <t>Introduction to Humanities (Arts for Fine Living)</t>
  </si>
  <si>
    <t>1997-13818
1997-13819
1997-13820
1997-13821
1997-13822
1997-13823
1997-13824
1997-13825
1997-13826
1997-13827
1997-13828
1997-13829
1997-13830
1997-13831
1997-13832</t>
  </si>
  <si>
    <r>
      <rPr>
        <sz val="12"/>
        <color theme="1"/>
        <rFont val="Arial"/>
        <family val="2"/>
      </rPr>
      <t>No. of titles:</t>
    </r>
    <r>
      <rPr>
        <b/>
        <sz val="12"/>
        <color theme="1"/>
        <rFont val="Arial"/>
        <family val="2"/>
      </rPr>
      <t xml:space="preserve"> 8</t>
    </r>
  </si>
  <si>
    <r>
      <rPr>
        <sz val="12"/>
        <color theme="1"/>
        <rFont val="Arial"/>
        <family val="2"/>
      </rPr>
      <t xml:space="preserve">No. of copies: </t>
    </r>
    <r>
      <rPr>
        <b/>
        <sz val="12"/>
        <color theme="1"/>
        <rFont val="Arial"/>
        <family val="2"/>
      </rPr>
      <t>49</t>
    </r>
  </si>
  <si>
    <t>GEC 9: THE LIFE AND WORK OF RIZAL</t>
  </si>
  <si>
    <t>Fil
959.902
C626l
2019</t>
  </si>
  <si>
    <t>Espina-Clemente, Janet</t>
  </si>
  <si>
    <t>The Life and Works of Rizal: Outcome-Based Module (Courseware Ready)</t>
  </si>
  <si>
    <t>2019-26842
2019-26843</t>
  </si>
  <si>
    <t>Fil
959.902
C955c
2019</t>
  </si>
  <si>
    <t>Crudo, Eugene Raymond P.</t>
  </si>
  <si>
    <t>Course Module: The Life &amp; Works &amp; Writings of Rizal</t>
  </si>
  <si>
    <t>2019-26896
2019-26897
2019-26898</t>
  </si>
  <si>
    <t>Fil
959.902
O12l
2018</t>
  </si>
  <si>
    <t>Obias, Rhodalyn W.</t>
  </si>
  <si>
    <t>The Life and Works of Jose Rizal</t>
  </si>
  <si>
    <t>2018-26591
2018-26592
2018-26593
2018-26594
2018-26595
2018-26596
2018-26597
2018-26598
2018-26599
2018-26600</t>
  </si>
  <si>
    <t>Fil
959.902
D492j
2018</t>
  </si>
  <si>
    <t>De Viana, Augusto V.</t>
  </si>
  <si>
    <t>Jose Rizal, Social Reformer and Patriot</t>
  </si>
  <si>
    <t>2019-26899
2019-26900
2019-26901</t>
  </si>
  <si>
    <t>Fil
959.902
F819j
2015</t>
  </si>
  <si>
    <t>Francisco, Virlyn J.</t>
  </si>
  <si>
    <t>Jose P. Rizal: A College Textbook on Jose Rizal’s Life and Writings</t>
  </si>
  <si>
    <t>2016-25446
2016-25447
2016-25448
2016-25449
2016-25450</t>
  </si>
  <si>
    <t>Fil
959.902
G216r
2015</t>
  </si>
  <si>
    <t>Rizal and the Development of Filipino Nationalism: A Textbook on the Life, Works and Writings of Our National Hero</t>
  </si>
  <si>
    <t>2016-25466
2016-25467
2016-25468
2016-25469
2016-25470</t>
  </si>
  <si>
    <t xml:space="preserve">Fil
959.902
D492j
2014
</t>
  </si>
  <si>
    <t>Jose Rizal in Our Times: A Guide for the Better Understanding of the Philippines’ Foremost National Hero</t>
  </si>
  <si>
    <t>2016-25461
2016-25462
2016-25463
2016-25464
2016-25465</t>
  </si>
  <si>
    <t>Fil
959.902
P258j
2014</t>
  </si>
  <si>
    <t>Pasigui, Ronnie E.</t>
  </si>
  <si>
    <t>Jose Rizal, the Man and the Hero</t>
  </si>
  <si>
    <t>2016-24754
2016-24755
2016-24756
2016-24757
2016-24758</t>
  </si>
  <si>
    <t>Fil
959.902
V161r
2014</t>
  </si>
  <si>
    <t>Valenzuela, Edwin E.</t>
  </si>
  <si>
    <t>Rizal and Other Heroes: Their Relevance in  Modern Filipino Nationalism</t>
  </si>
  <si>
    <t>2016-25451
2016-25452
2016-25453
2016-25454
2016-25455</t>
  </si>
  <si>
    <t>Fil
959.902
A712l
2013</t>
  </si>
  <si>
    <t>Ariola, Mariano M.</t>
  </si>
  <si>
    <t>Life, Works and Writings of Dr. Jose P. Rizal</t>
  </si>
  <si>
    <t>2016-25456
2016-25457
2016-25458
2016-25459
2016-25460</t>
  </si>
  <si>
    <t>Fil
959.902
G934f
2007</t>
  </si>
  <si>
    <t>Guerrero, Leon Ma.</t>
  </si>
  <si>
    <t>The First Filipino: A Biography of Jose Rizal</t>
  </si>
  <si>
    <t>2008-21590</t>
  </si>
  <si>
    <t>Fil
959.902
Z95r
2004</t>
  </si>
  <si>
    <t>Zulueta, Francisco M.</t>
  </si>
  <si>
    <t xml:space="preserve">Rizal: Life, Works, and Ideals </t>
  </si>
  <si>
    <t>2008-20281
2008-20299
2009-21882
2009-21883
2009-21884
2009-21885
2009-21886</t>
  </si>
  <si>
    <t>Fil
959.902
Z21j
2003</t>
  </si>
  <si>
    <t>Jose Rizal: Life, Works, and Writings</t>
  </si>
  <si>
    <t>2009-21857
2009-21858
2009-21859
2009-21860
2009-21861</t>
  </si>
  <si>
    <t>Fil
959.902
T829l
2000</t>
  </si>
  <si>
    <t>Trillana, Pablo S.</t>
  </si>
  <si>
    <t>The Loves of Rizal: And Other Essays on Philippine History, Art and Public Policy</t>
  </si>
  <si>
    <t>2001-17615
2001-17616
2001-17617</t>
  </si>
  <si>
    <t>Fil
959.902
A862p
1999</t>
  </si>
  <si>
    <t>Ataviado, Elias M.</t>
  </si>
  <si>
    <t xml:space="preserve">The Philippine Revolution in the Bicol Region </t>
  </si>
  <si>
    <t>2001-17151
2001-17230</t>
  </si>
  <si>
    <t>Fil
959.902
R627r
1992</t>
  </si>
  <si>
    <t>Rizal, Jose</t>
  </si>
  <si>
    <t>Rizal’s Correspondence with Fellow Reformists</t>
  </si>
  <si>
    <t>2003-17850</t>
  </si>
  <si>
    <t>Fil
959.902
Z21j
1992</t>
  </si>
  <si>
    <t>Jose Rizal: Life, Works and Writings</t>
  </si>
  <si>
    <t>1996-12452
1996-12453
1996-12454
1996-12455
1996-12456
1996-12457
1996-12458
1996-12459
1996-12460
1996-12461
1996-12462
1996-12463
1996-12464
1996-12465
1996-12466</t>
  </si>
  <si>
    <t>Fil
959.902
Z21j
1984</t>
  </si>
  <si>
    <t>Jose Rizal: Life, Works and Writings of a Genius, Scientist and National Hero</t>
  </si>
  <si>
    <t>1994-10014
1994-10015
1994-10016
1994-10017</t>
  </si>
  <si>
    <t xml:space="preserve">Fil
959.902
F363j
1980
</t>
  </si>
  <si>
    <t>Fernandez, Jose B.</t>
  </si>
  <si>
    <t>Jose Rizal: Filipino Doctor and Patriot</t>
  </si>
  <si>
    <t>1996-12444
1996-12445
1996-12446</t>
  </si>
  <si>
    <t>Fil
959.902
R763r
1978</t>
  </si>
  <si>
    <t>Romero, Ma. Corona S.</t>
  </si>
  <si>
    <t>Rizal and the Development of National Consciousness: A Textbook for the Course on Rizal’s Life, Works and Writings</t>
  </si>
  <si>
    <t>1999-16177
1999-16178
1999-16179</t>
  </si>
  <si>
    <r>
      <rPr>
        <sz val="12"/>
        <color theme="1"/>
        <rFont val="Arial"/>
        <family val="2"/>
      </rPr>
      <t>No. of titles:</t>
    </r>
    <r>
      <rPr>
        <b/>
        <sz val="12"/>
        <color theme="1"/>
        <rFont val="Arial"/>
        <family val="2"/>
      </rPr>
      <t xml:space="preserve"> 20</t>
    </r>
  </si>
  <si>
    <r>
      <rPr>
        <sz val="12"/>
        <color theme="1"/>
        <rFont val="Arial"/>
        <family val="2"/>
      </rPr>
      <t xml:space="preserve">No. of copies: </t>
    </r>
    <r>
      <rPr>
        <b/>
        <sz val="12"/>
        <color theme="1"/>
        <rFont val="Arial"/>
        <family val="2"/>
      </rPr>
      <t>92</t>
    </r>
  </si>
  <si>
    <t>GEC 10: Living in the IT Era</t>
  </si>
  <si>
    <r>
      <rPr>
        <sz val="12"/>
        <color theme="1"/>
        <rFont val="Arial"/>
        <family val="2"/>
      </rPr>
      <t>No. of copies:</t>
    </r>
    <r>
      <rPr>
        <b/>
        <sz val="12"/>
        <color theme="1"/>
        <rFont val="Arial"/>
        <family val="2"/>
      </rPr>
      <t xml:space="preserve"> 4</t>
    </r>
  </si>
  <si>
    <t>AGF 100: INTRODUCTION TO AGROFORESTRY</t>
  </si>
  <si>
    <t>Dagar, J. C.;Tewari, J. C.</t>
  </si>
  <si>
    <t>Agroforestry Research Developments</t>
  </si>
  <si>
    <t>C. B. Pandey;O. P. Chaturvedi</t>
  </si>
  <si>
    <t>Agroforestry: Systems and Prospects</t>
  </si>
  <si>
    <t>https://research.ebsco.com/c/fcl55w/search/details/evvptxfxb5?db=e000xww%2Cnlebk%2Cagp%2Cofm%2Cddu&amp;limiters=DT1%3A2014-11-26%2F2024-11-26&amp;q=Agroforestry%3A%20Systems%20and%20Prospects</t>
  </si>
  <si>
    <t>Sunil Puri;Pankaj Panwa</t>
  </si>
  <si>
    <t xml:space="preserve">Agroforestry: Systems and Practices
</t>
  </si>
  <si>
    <t>https://research.ebsco.com/c/fcl55w/search/details/4cvbgg4lt5?db=e000xww%2Cnlebk%2Cagp%2Cofm%2Cddu&amp;limiters=DT1%3A2014-11-26%2F2024-11-26&amp;q=Agroforestry%3A%20Systems%20and%20Practices</t>
  </si>
  <si>
    <t>Collins, Edan P.</t>
  </si>
  <si>
    <t>Agroforestry : A Practical Guide to Profitable Farms and Woodlands</t>
  </si>
  <si>
    <t>Chukwu, Kayin</t>
  </si>
  <si>
    <t>Soil Fertility: Characteristics, Processes and Management</t>
  </si>
  <si>
    <r>
      <rPr>
        <sz val="12"/>
        <color theme="1"/>
        <rFont val="Arial"/>
        <family val="2"/>
      </rPr>
      <t>No. of titles:</t>
    </r>
    <r>
      <rPr>
        <b/>
        <sz val="12"/>
        <color theme="1"/>
        <rFont val="Arial"/>
        <family val="2"/>
      </rPr>
      <t xml:space="preserve"> 2</t>
    </r>
  </si>
  <si>
    <r>
      <rPr>
        <sz val="12"/>
        <color theme="1"/>
        <rFont val="Arial"/>
        <family val="2"/>
      </rPr>
      <t>No. of copies:</t>
    </r>
    <r>
      <rPr>
        <b/>
        <sz val="12"/>
        <color theme="1"/>
        <rFont val="Arial"/>
        <family val="2"/>
      </rPr>
      <t xml:space="preserve"> 2</t>
    </r>
  </si>
  <si>
    <t>ANSCI 1: INTRODUCTION TO ANIMAL SCIENCE</t>
  </si>
  <si>
    <t>Mahmoud, Alagawany;Mohamed E. Abd El, Hack</t>
  </si>
  <si>
    <t>Natural Feed Additives Used in the Poultry Industry</t>
  </si>
  <si>
    <t>https://research.ebsco.com/c/fcl55w/search/details/hpxhzkavtf?db=e000xww%2Cnlebk%2Cagp%2Cofm%2Cddu&amp;limiters=DT1%3A2014-11-26%2F2024-11-26&amp;q=Natural%20Feed%20Additives%20used%20in%20Poultry%20Industry</t>
  </si>
  <si>
    <t>Jenkins, Owen P.</t>
  </si>
  <si>
    <t>Advances in Animal Science and Zoology</t>
  </si>
  <si>
    <t>https://research.ebsco.com/c/fcl55w/search/details/sixtvqnzh5?db=e000xww%2Cnlebk%2Cagp%2Cofm%2Cddu&amp;limiters=DT1%3A2014-11-26%2F2024-11-26&amp;q=animal%20science</t>
  </si>
  <si>
    <t>Advances in Animal Science and Zoology</t>
  </si>
  <si>
    <t>ARUN KUMAR TOMAR</t>
  </si>
  <si>
    <t>SUSTAINABLE LIVESTOCK AND POULTRY BREEDING</t>
  </si>
  <si>
    <t>Hemantaranjan, A.</t>
  </si>
  <si>
    <t>Advances in Plant Physiology : An International Treatise Series</t>
  </si>
  <si>
    <r>
      <rPr>
        <sz val="12"/>
        <color theme="1"/>
        <rFont val="Arial"/>
        <family val="2"/>
      </rPr>
      <t>No. of titles:</t>
    </r>
    <r>
      <rPr>
        <b/>
        <sz val="12"/>
        <color theme="1"/>
        <rFont val="Arial"/>
        <family val="2"/>
      </rPr>
      <t xml:space="preserve"> 3</t>
    </r>
  </si>
  <si>
    <r>
      <rPr>
        <sz val="12"/>
        <color theme="1"/>
        <rFont val="Arial"/>
        <family val="2"/>
      </rPr>
      <t>No. of copies:</t>
    </r>
    <r>
      <rPr>
        <b/>
        <sz val="12"/>
        <color theme="1"/>
        <rFont val="Arial"/>
        <family val="2"/>
      </rPr>
      <t xml:space="preserve"> 3</t>
    </r>
  </si>
  <si>
    <t>CRSC 1: INTRODUCTION TO AGRONOMIC PRODUCTION</t>
  </si>
  <si>
    <t>Sanjeev Kumar</t>
  </si>
  <si>
    <t>Diseases of Field Crops and Their Integrated Management</t>
  </si>
  <si>
    <t>https://research.ebsco.com/c/fcl55w/search/details/qt5bek3upb?db=e000xww%2Cnlebk%2Cagp%2Cofm%2Cddu&amp;limiters=DT1%3A2019-11-26%2F2024-11-26&amp;q=Diseases%20of%20Field%20Crops</t>
  </si>
  <si>
    <t xml:space="preserve">
Zhao, Qiao</t>
  </si>
  <si>
    <t>Crop Yields : Production, Management Practices, and Impact of Climate Change</t>
  </si>
  <si>
    <t>Chowdappa, P.</t>
  </si>
  <si>
    <t>Biotechnology of Plantation Crops</t>
  </si>
  <si>
    <t xml:space="preserve">
Roy, Darbeshwar</t>
  </si>
  <si>
    <t>Breeding of Fruit Crops</t>
  </si>
  <si>
    <t>https://research.ebsco.com/c/fcl55w/search/details/7fkvluaopb?db=e000xww%2Cnlebk%2Cagp%2Cofm%2Cddu&amp;limiters=DT1%3A2014-11-27%2F2024-11-27&amp;q=Breeding%20of%20Fruit%20Crops</t>
  </si>
  <si>
    <t>P. CHOWDAPPA</t>
  </si>
  <si>
    <t>Impact of  Climate Change on Plantation Crops</t>
  </si>
  <si>
    <t>K.P. Prabhakaran Nair</t>
  </si>
  <si>
    <t>The Agronomy and Economy of Turmeric and Ginger : The Invaluable Medicinal Spice Crops</t>
  </si>
  <si>
    <r>
      <rPr>
        <sz val="12"/>
        <color theme="1"/>
        <rFont val="Arial"/>
        <family val="2"/>
      </rPr>
      <t>No. of copies:</t>
    </r>
    <r>
      <rPr>
        <b/>
        <sz val="12"/>
        <color theme="1"/>
        <rFont val="Arial"/>
        <family val="2"/>
      </rPr>
      <t xml:space="preserve"> 5</t>
    </r>
  </si>
  <si>
    <t>Pathfit 2: Exercise Based Fitness Activities</t>
  </si>
  <si>
    <t>Cir
793.3
B171p
v.2
2012</t>
  </si>
  <si>
    <t>Balagtas, Jo-Ann C</t>
  </si>
  <si>
    <t>Physical Education 2: Rhythmic Activities</t>
  </si>
  <si>
    <t>2016-25348
2016-25349
2016-25350
2016-25351
2016-25352</t>
  </si>
  <si>
    <t>Cir
793.3
D582p
v.2
2010</t>
  </si>
  <si>
    <t>Dimapilis, Nenita J.</t>
  </si>
  <si>
    <t>2011-22869
2011-22870
2011-22871
2011-22872
2011-22873
2011-22874
2011-22875</t>
  </si>
  <si>
    <t>Fil
793.319
A366s
2002</t>
  </si>
  <si>
    <t>Alejandro, Reynaldo G.</t>
  </si>
  <si>
    <t>Sayaw: Philippine Dances</t>
  </si>
  <si>
    <t>2004-17923
2004-17924</t>
  </si>
  <si>
    <t>Cir
793.3
T113d
2004</t>
  </si>
  <si>
    <t>Tabije-Andin, Carmen</t>
  </si>
  <si>
    <t>Dance Education in the School Curriculum</t>
  </si>
  <si>
    <t>2006-19502
2006-19503
2006-19504
2006-19505
2006-19506
2006-19507
2006-19508
2006-19509
2006-19510
2006-19511</t>
  </si>
  <si>
    <t>Reneé Critcher Lyons</t>
  </si>
  <si>
    <t>The Revival of Banned Dances : A Worldwide Study</t>
  </si>
  <si>
    <t>Joanna Bosse</t>
  </si>
  <si>
    <t>Becoming Beautiful : Ballroom Dance in the American Heartland</t>
  </si>
  <si>
    <r>
      <rPr>
        <sz val="12"/>
        <color theme="1"/>
        <rFont val="Arial"/>
        <family val="2"/>
      </rPr>
      <t>No. of titles:</t>
    </r>
    <r>
      <rPr>
        <b/>
        <sz val="12"/>
        <color theme="1"/>
        <rFont val="Arial"/>
        <family val="2"/>
      </rPr>
      <t xml:space="preserve"> 6</t>
    </r>
  </si>
  <si>
    <r>
      <rPr>
        <sz val="12"/>
        <color theme="1"/>
        <rFont val="Arial"/>
        <family val="2"/>
      </rPr>
      <t>No. of copies:</t>
    </r>
    <r>
      <rPr>
        <b/>
        <sz val="12"/>
        <color theme="1"/>
        <rFont val="Arial"/>
        <family val="2"/>
      </rPr>
      <t xml:space="preserve"> 26</t>
    </r>
  </si>
  <si>
    <t>NSTP:ROTC 2</t>
  </si>
  <si>
    <t xml:space="preserve">Cir
355.223
D332n
v.1
2005
</t>
  </si>
  <si>
    <t>dela Cruz, Sonia G.a</t>
  </si>
  <si>
    <t>National Development via National Service Training Program (CWTS &amp; ROTC)</t>
  </si>
  <si>
    <t xml:space="preserve">2010-22009 
2010-22010 2010-22011 
2010-22012 
2010-22013  </t>
  </si>
  <si>
    <t xml:space="preserve">Cir
355.223
D332n
v.2
2005
</t>
  </si>
  <si>
    <t>NSTP National Development via National Service Training Program (CWTS 2)</t>
  </si>
  <si>
    <t xml:space="preserve">2010-22014 
2010-22015 
2010-22016 
2010-22017 
2010-22018 </t>
  </si>
  <si>
    <t xml:space="preserve">Cir
355.223
D332n
2015
</t>
  </si>
  <si>
    <t>dela Cruz, Sonia G.</t>
  </si>
  <si>
    <t>2016-25246
2016-25247
2016-25248</t>
  </si>
  <si>
    <t xml:space="preserve">Cir
355.223
V726s
2019
</t>
  </si>
  <si>
    <t>Villasoto, Herminigildo</t>
  </si>
  <si>
    <t>Service-Learning and Immersion Towards Community Building: NSTP-CWTS 2 Worktext for College Students</t>
  </si>
  <si>
    <t xml:space="preserve">2019-26811
2019-26812
</t>
  </si>
  <si>
    <t>Fil 355.223 B982i 2017</t>
  </si>
  <si>
    <t>Ma. Corazon O. Bustria</t>
  </si>
  <si>
    <t xml:space="preserve">Instructional Module in Civic Welfare Training Service </t>
  </si>
  <si>
    <t>2019-26929 2019-26930 2019-26931</t>
  </si>
  <si>
    <r>
      <rPr>
        <sz val="12"/>
        <color theme="1"/>
        <rFont val="Arial"/>
        <family val="2"/>
      </rPr>
      <t xml:space="preserve">No. of copies: </t>
    </r>
    <r>
      <rPr>
        <b/>
        <sz val="12"/>
        <color theme="1"/>
        <rFont val="Arial"/>
        <family val="2"/>
      </rPr>
      <t>18</t>
    </r>
  </si>
  <si>
    <t>SECOND YEAR: FIRST SEMESTER</t>
  </si>
  <si>
    <t>ANSCI 2: INTRODUCTION TO LIVESTOCK AND POULTRY PRODUCTION</t>
  </si>
  <si>
    <t>Thomas Bartzanas</t>
  </si>
  <si>
    <t>Technology for Environmentally Friendly Livestock Production</t>
  </si>
  <si>
    <t>https://research.ebsco.com/c/fcl55w/search/details/cmtmkw5eer?db=e000xww%2Cnlebk%2Cagp%2Cofm%2Cddu&amp;limiters=DT1%3A2019-11-26%2F2024-11-26&amp;q=Technology%20for%20Environmentally</t>
  </si>
  <si>
    <t>B.H.M. Patel;S.B. Prasanna;Mahadevppa D Gouri</t>
  </si>
  <si>
    <t>Animal Welfare and Management</t>
  </si>
  <si>
    <t>https://research.ebsco.com/c/fcl55w/search/details/2x2kkjlglr?db=e000xww%2Cnlebk%2Cagp%2Cofm%2Cddu&amp;limiters=DT1%3A2019-11-26%2F2024-11-26&amp;q=Animal%20Welfare%20and%20Management</t>
  </si>
  <si>
    <t>Gangadhar Nayak;Kautuk Kumar Sardar;Bhabesh Chandra Das;Debiprasanna Das</t>
  </si>
  <si>
    <t>Impact of Climate Change on Livestock Health and Production</t>
  </si>
  <si>
    <t>https://research.ebsco.com/c/fcl55w/search/details/4s3rp7elov?db=e000xww%2Cnlebk%2Cagp%2Cofm%2Cddu&amp;limiters=DT1%3A2019-11-26%2F2024-11-26&amp;q=Impact%20of%20Climate%20Change%20on%20Livestock</t>
  </si>
  <si>
    <t>Punkaj Singh</t>
  </si>
  <si>
    <t>Feed Supplements for Livestock and Poultry</t>
  </si>
  <si>
    <t>Joseph P. Kerry</t>
  </si>
  <si>
    <t>Advances in Meat, Poultry and Seafood Packaging</t>
  </si>
  <si>
    <t>Monica R. Gisolfi</t>
  </si>
  <si>
    <t>The Takeover : Chicken Farming and the Roots of American Agribusiness</t>
  </si>
  <si>
    <r>
      <rPr>
        <sz val="12"/>
        <color theme="1"/>
        <rFont val="Arial"/>
        <family val="2"/>
      </rPr>
      <t xml:space="preserve">No. of copies: </t>
    </r>
    <r>
      <rPr>
        <b/>
        <sz val="12"/>
        <color theme="1"/>
        <rFont val="Arial"/>
        <family val="2"/>
      </rPr>
      <t>5</t>
    </r>
  </si>
  <si>
    <t>CRSC 2: FUNDAMENTALS OF HORTICULTURE</t>
  </si>
  <si>
    <t>S.S.Sindhu</t>
  </si>
  <si>
    <t>Ornamental Horticulture</t>
  </si>
  <si>
    <t>https://research.ebsco.com/c/fcl55w/search/details/wjrd4r5non?db=e000xww%2Cnlebk%2Cagp%2Cofm%2Cddu&amp;limiters=DT1%3A2019-11-26%2F2024-11-26&amp;q=Ornamental%20Horticulture</t>
  </si>
  <si>
    <t>Ajai Kumar Tiwari;Rajesh Kumar</t>
  </si>
  <si>
    <t>Fundamentals of Ornamental Horticulture and Landscape Gardening</t>
  </si>
  <si>
    <t>https://research.ebsco.com/c/fcl55w/search/details/shibrzzro5?db=e000xww%2Cnlebk%2Cagp%2Cofm%2Cddu&amp;limiters=DT1%3A2019-11-26%2F2024-11-26&amp;q=Fundamentals%20of%20Ornamental</t>
  </si>
  <si>
    <t>Jitendar Singh;S.K.Jain;L.K.Dashora;B.S. Chundawat:</t>
  </si>
  <si>
    <t>Precision Farming in Horticulture</t>
  </si>
  <si>
    <t>https://research.ebsco.com/c/fcl55w/search/details/bo2dvyoh7j?db=e000xww%2Cnlebk%2Cagp%2Cofm%2Cddu&amp;limiters=DT1%3A2019-11-26%2F2024-11-26&amp;q=Precision%20Farming</t>
  </si>
  <si>
    <t>DISEASES OF FIELD AND HORTICULTURAL CROPS</t>
  </si>
  <si>
    <t>Chadha, K. L.</t>
  </si>
  <si>
    <t>Managing Postharvest Quality and Losses in Horticultural Crops</t>
  </si>
  <si>
    <t>Dinesh, M. R.</t>
  </si>
  <si>
    <t>Distant Hybridization in Horticultural Crops</t>
  </si>
  <si>
    <r>
      <rPr>
        <sz val="12"/>
        <color theme="1"/>
        <rFont val="Arial"/>
        <family val="2"/>
      </rPr>
      <t xml:space="preserve">No. of copies: </t>
    </r>
    <r>
      <rPr>
        <b/>
        <sz val="12"/>
        <color theme="1"/>
        <rFont val="Arial"/>
        <family val="2"/>
      </rPr>
      <t>3</t>
    </r>
  </si>
  <si>
    <t>COMSCI: BASIC OF COMPUTER SCIENCE</t>
  </si>
  <si>
    <t>https://research.ebsco.com/c/fcl55w/search/details/4r3t5rppjv?db=e000xww%2Cnlebk%2Cagp%2Cofm%2Cddu&amp;limiters=DT1%3A2019-11-26%2F2024-11-26&amp;q=Introduction%20to%20Computer%20Science%20</t>
  </si>
  <si>
    <t>Arabnia, Hamid R.;Tinetti, Fernando G.</t>
  </si>
  <si>
    <t>Foundations of Computer Science</t>
  </si>
  <si>
    <t>https://research.ebsco.com/c/fcl55w/search/details/m6n63iaiyr?db=e000xww%2Cnlebk%2Cagp%2Cofm%2Cddu&amp;limiters=DT1%3A2019-11-26%2F2024-11-26&amp;q=Foundations%20of%20Computer%20Science</t>
  </si>
  <si>
    <t>Kunwar Singh Vaisla</t>
  </si>
  <si>
    <t>Computer Science and Multimedia Technologies</t>
  </si>
  <si>
    <t>https://research.ebsco.com/c/fcl55w/search/details/v5jmqonps5?db=e000xww%2Cnlebk%2Cagp%2Cofm%2Cddu&amp;limiters=DT1%3A2019-11-26%2F2024-11-26&amp;q=Computer%20Science%20and%20Multimedia%20Technologies</t>
  </si>
  <si>
    <t xml:space="preserve">IT
004
V899f
2014
</t>
  </si>
  <si>
    <t>Volante, Cecilio S.</t>
  </si>
  <si>
    <t>Fundamentals of Information Technology</t>
  </si>
  <si>
    <t>2016-25144
2016-25145
2016-25146
2016-25147
2016-25148
2016-25149
2016-25150
2016-25151
2016-25152
2016-25153
2016-25154
2016-25155
2016-25156
2016-25157
2016-25158</t>
  </si>
  <si>
    <t xml:space="preserve">IT
004
U48c
2012
</t>
  </si>
  <si>
    <t>Umali, Julieta M.</t>
  </si>
  <si>
    <t>Computer Fundamentals</t>
  </si>
  <si>
    <t>2016-25159
2016-25160
2016-25161
2016-25162
2016-25163
2016-25164
2016-25165
2016-25166
2016-25167
2016-25168</t>
  </si>
  <si>
    <t>IT
005.106
T531s
2017</t>
  </si>
  <si>
    <t>3G E-learning LLC, USA</t>
  </si>
  <si>
    <t>Software Project Management</t>
  </si>
  <si>
    <t>2019-26617</t>
  </si>
  <si>
    <t xml:space="preserve">IT
342.73
G745l
2015
</t>
  </si>
  <si>
    <t>Grama, Joanna Lyn</t>
  </si>
  <si>
    <t>Legal Issues in Information Security</t>
  </si>
  <si>
    <t>2016-24587</t>
  </si>
  <si>
    <t>IT
352.38
K21i
2015</t>
  </si>
  <si>
    <t>Kaur, Jaskiran</t>
  </si>
  <si>
    <t>Information Technology and e-Governance</t>
  </si>
  <si>
    <t>2019-26619</t>
  </si>
  <si>
    <t>IT
658.403
S782i
2012</t>
  </si>
  <si>
    <t>Stair, Ralph M.</t>
  </si>
  <si>
    <t>Information Systems Essentials</t>
  </si>
  <si>
    <t>2012-23299
2012-23300
2012-23301
2012-23302
2012-23303</t>
  </si>
  <si>
    <r>
      <rPr>
        <sz val="12"/>
        <color theme="1"/>
        <rFont val="Arial"/>
        <family val="2"/>
      </rPr>
      <t>No. of copies:</t>
    </r>
    <r>
      <rPr>
        <b/>
        <sz val="12"/>
        <color theme="1"/>
        <rFont val="Arial"/>
        <family val="2"/>
      </rPr>
      <t xml:space="preserve"> 33</t>
    </r>
  </si>
  <si>
    <t>CHEM 1: INORGANIC CHEMISTRY</t>
  </si>
  <si>
    <t>Christopher Spicer</t>
  </si>
  <si>
    <t>The Chemistry of Inorganic Biomaterials</t>
  </si>
  <si>
    <t>https://research.ebsco.com/c/fcl55w/search/details/v6n2dnl3df?db=e000xww%2Cnlebk%2Cagp%2Cofm%2Cddu&amp;limiters=DT1%3A2019-11-26%2F2024-11-26&amp;q=Inorganic</t>
  </si>
  <si>
    <t>Marie O. Mendoza, Rose</t>
  </si>
  <si>
    <t>Overview of Inorganic Compounds</t>
  </si>
  <si>
    <t>https://research.ebsco.com/c/fcl55w/search/details/n5kygzdljz?db=e000xww%2Cnlebk%2Cagp%2Cofm%2Cddu&amp;limiters=DT1%3A2019-11-26%2F2024-11-26&amp;q=Inorganic</t>
  </si>
  <si>
    <t>Peter B. Moore, Author</t>
  </si>
  <si>
    <t>An Introduction to Chemistry</t>
  </si>
  <si>
    <t>https://research.ebsco.com/c/fcl55w/search/details/enoqtiknzb?db=e000xww%2Cnlebk%2Cagp%2Cofm%2Cddu&amp;limiters=DT1%3A2019-11-26%2F2024-11-26&amp;q=An%20introduction%20to%20Chemistry</t>
  </si>
  <si>
    <t>Cir
546
N964l
2007</t>
  </si>
  <si>
    <t>Nucum, Zenaida T.</t>
  </si>
  <si>
    <t>Laboratory Manual in General Inorganic Chemistry</t>
  </si>
  <si>
    <t>2008-20417</t>
  </si>
  <si>
    <t>Cir
546
S561i
1999</t>
  </si>
  <si>
    <t>Shriver, Duward F.</t>
  </si>
  <si>
    <t>2004-18018
2004-18019
2004-18020
2004-18021
2004-18022</t>
  </si>
  <si>
    <t>ebbok</t>
  </si>
  <si>
    <t>Robert Crichton</t>
  </si>
  <si>
    <t>Biological Inorganic Chemistry : A New Introduction to Molecular Structure and Function</t>
  </si>
  <si>
    <t>Angela Dibenedetto</t>
  </si>
  <si>
    <t>Inorganic Micro- and Nanomaterials : Synthesis and Characterization</t>
  </si>
  <si>
    <t>Astrid Sigel</t>
  </si>
  <si>
    <t>Structural and Catalytic Roles of Metal Ions in RNA</t>
  </si>
  <si>
    <t>Henryk Matusiewicz</t>
  </si>
  <si>
    <t>Inorganic Trace Analytics : Trace Element Analysis and Speciation</t>
  </si>
  <si>
    <t>Metal-Carbon Bonds in Enzymes and Cofactors</t>
  </si>
  <si>
    <r>
      <rPr>
        <sz val="12"/>
        <color theme="1"/>
        <rFont val="Arial"/>
        <family val="2"/>
      </rPr>
      <t>No. of titles:</t>
    </r>
    <r>
      <rPr>
        <b/>
        <sz val="12"/>
        <color theme="1"/>
        <rFont val="Arial"/>
        <family val="2"/>
      </rPr>
      <t xml:space="preserve"> 7</t>
    </r>
  </si>
  <si>
    <t>AGF 101: MECHANICAL DRAWING</t>
  </si>
  <si>
    <t>Hamad, Munir</t>
  </si>
  <si>
    <t>AutoCAD 2023 Beginning and Intermediate</t>
  </si>
  <si>
    <t>https://research.ebsco.com/c/fcl55w/search/details/6wxn3pwqsv?db=e000xww%2Cnlebk%2Cagp%2Cofm%2Cddu&amp;limiters=DT1%3A2019-11-26%2F2024-11-26&amp;q=Mechanical%20Drawing</t>
  </si>
  <si>
    <t>A.M. Bisen</t>
  </si>
  <si>
    <t>Machine Drawing</t>
  </si>
  <si>
    <t>https://research.ebsco.com/c/fcl55w/search/details/325557pcyf?db=e000xww%2Cnlebk%2Cagp%2Cofm%2Cddu&amp;limiters=DT1%3A2019-11-26%2F2024-11-26&amp;q=Mechanical%20Drawing</t>
  </si>
  <si>
    <t>AutoCAD 2023 3D Modeling</t>
  </si>
  <si>
    <t>https://research.ebsco.com/c/fcl55w/search/details/v4fptfxhsv?db=e000xww%2Cnlebk%2Cagp%2Cofm%2Cddu&amp;limiters=DT1%3A2019-11-26%2F2024-11-26&amp;q=Mechanical%20Drawing</t>
  </si>
  <si>
    <t>Colin Simmons</t>
  </si>
  <si>
    <t>Manual of Engineering Drawing : Technical Product Specification and Documentation to British and International Standards</t>
  </si>
  <si>
    <t xml:space="preserve">
Santos, João</t>
  </si>
  <si>
    <t>Getting Started with DraftSight : Learn Mechanical Drafting for Commercial and Academic Projects</t>
  </si>
  <si>
    <t>AGF 103: AGROFORESTRY TAXONOMY</t>
  </si>
  <si>
    <t>A. Baruah</t>
  </si>
  <si>
    <t>Plant Taxonomy</t>
  </si>
  <si>
    <t>Prithipalsingh</t>
  </si>
  <si>
    <t>Plant Taxonomy : Past, Present and Future: Dr Prithipalsingh Festschrift</t>
  </si>
  <si>
    <t>GEC 11: Entrepreneurial Mind</t>
  </si>
  <si>
    <t>Vanessa Ratten</t>
  </si>
  <si>
    <t>Entrepreneurship As Empowerment : Knowledge Spillovers and Entrepreneurial Ecosystems</t>
  </si>
  <si>
    <t>https://research.ebsco.com/c/fcl55w/search/details/m2ckghspnf?db=e000xww%2Cnlebk%2Cagp%2Cofm%2Cddu&amp;limiters=DT1%3A2019-11-26%2F2024-11-26&amp;q=Entrepreneurship%20as%20Empowerment</t>
  </si>
  <si>
    <t>Francesca Masciarelli;Simona Leonelli</t>
  </si>
  <si>
    <t>Sustainable Entrepreneurship : How Entrepreneurs Create Value From Sustainable Opportunities</t>
  </si>
  <si>
    <t>https://research.ebsco.com/c/fcl55w/search/details/3624pvjpnn?db=e000xww%2Cnlebk%2Cagp%2Cofm%2Cddu&amp;limiters=DT1%3A2019-11-26%2F2024-11-26&amp;q=Sustainable%20Entrepreneurship</t>
  </si>
  <si>
    <t>T. K. Das</t>
  </si>
  <si>
    <t>Entrepreneurship and Behavioral Strategy</t>
  </si>
  <si>
    <t>https://research.ebsco.com/c/fcl55w/search/details/xjozq7vmyn?db=e000xww%2Cnlebk%2Cagp%2Cofm%2Cddu&amp;limiters=DT1%3A2019-11-26%2F2024-11-26&amp;q=Entrepreneurship%20and%20Behavioral%20Strategy</t>
  </si>
  <si>
    <t xml:space="preserve">Cir
363.7
C973e
2003
</t>
  </si>
  <si>
    <t>Cunningham, William P.</t>
  </si>
  <si>
    <t xml:space="preserve">Environmental Science: A Global Concern </t>
  </si>
  <si>
    <t>2005-19147</t>
  </si>
  <si>
    <t>Cir
363.7
C973e
2005</t>
  </si>
  <si>
    <t>Environmental Science: A Global Concern</t>
  </si>
  <si>
    <t>2007-20085</t>
  </si>
  <si>
    <t>Cir
363.7
C973p
2004</t>
  </si>
  <si>
    <t xml:space="preserve">Principles of Environmental Science: Inquiry and Applications </t>
  </si>
  <si>
    <t>2005-19146</t>
  </si>
  <si>
    <t>Cir
363.7
C973p
2006</t>
  </si>
  <si>
    <t>2006-19917
2006-20049</t>
  </si>
  <si>
    <t>Cir
363.7
G948f
2015</t>
  </si>
  <si>
    <t>Guido, Ryan Manuel D.</t>
  </si>
  <si>
    <t>Fundamentals of Environmental Science</t>
  </si>
  <si>
    <t>2016-25319
2016-25320
2016-25321
2016-25322
2016-25323</t>
  </si>
  <si>
    <t>Cir
363.7
H417o
2000</t>
  </si>
  <si>
    <t>Hayes, Denis</t>
  </si>
  <si>
    <t>The Official Earth Day Guide to Planet Repair</t>
  </si>
  <si>
    <t>2004-17892</t>
  </si>
  <si>
    <t>Cir
363.7
L481l
2010</t>
  </si>
  <si>
    <t>Lee, Sergio J.</t>
  </si>
  <si>
    <t>Lecture Notes in Environmental Science: The Economy of Nature and Ecology of Man</t>
  </si>
  <si>
    <t>2012-23123
2012-23124
2012-23125
2012-23126
2012-23127</t>
  </si>
  <si>
    <t>Cir
363.7
M648e
2006</t>
  </si>
  <si>
    <t>Miller, G. Tyler</t>
  </si>
  <si>
    <t>Environmental Science: Working with the Earth</t>
  </si>
  <si>
    <t>2006-19913
2006-19914</t>
  </si>
  <si>
    <t>Cir
363.7
M648p
2013</t>
  </si>
  <si>
    <t>Principles of Environmental Science</t>
  </si>
  <si>
    <t>2014-23970
2014-23971
2014-23972
2014-23973
2014-23974</t>
  </si>
  <si>
    <t>Cir 
363.7
S235e
1996</t>
  </si>
  <si>
    <t>Santiago, Florenda I.</t>
  </si>
  <si>
    <t>Environmental Science: A Shared Responsibility Towards the Earth</t>
  </si>
  <si>
    <t>1999-16379
1999-16380
1999-16381
2001-17279
2001-17280
2001-17281
2001-17282
2001-17283</t>
  </si>
  <si>
    <t>Cir
363.7
T247f
2004</t>
  </si>
  <si>
    <t>Tayo, Gilma T.</t>
  </si>
  <si>
    <t>2008-21149
2008-21150
2008-21151
2008-21152
2008-21153
2008-21154
2008-21155
2008-21156
2008-21157
2008-21158
2008-21159
2008-21160
2008-21161
2008-21162
2008-21163
2008-21164
2008-21165
2008-21166
2008-21167
2008-21168
2008-21169
2008-21170
2008-21171
2008-21172
2008-21173
2008-21174
2008-21175
2008-21176
2008-21177
2008-21178
2008-21179
2008-21180
2008-21181
2008-21182
2008-21183</t>
  </si>
  <si>
    <t>Cir
363.705
P923
2002</t>
  </si>
  <si>
    <t>Tickner, Joel A., ed.</t>
  </si>
  <si>
    <t>Precaution, Environmental Science, and Preventive Public Policy</t>
  </si>
  <si>
    <t>2007-20072</t>
  </si>
  <si>
    <r>
      <rPr>
        <sz val="12"/>
        <color theme="1"/>
        <rFont val="Arial"/>
        <family val="2"/>
      </rPr>
      <t>No. of titles:</t>
    </r>
    <r>
      <rPr>
        <b/>
        <sz val="12"/>
        <color theme="1"/>
        <rFont val="Arial"/>
        <family val="2"/>
      </rPr>
      <t xml:space="preserve"> 12</t>
    </r>
  </si>
  <si>
    <r>
      <rPr>
        <sz val="12"/>
        <color theme="1"/>
        <rFont val="Arial"/>
        <family val="2"/>
      </rPr>
      <t>No. of copies:</t>
    </r>
    <r>
      <rPr>
        <b/>
        <sz val="12"/>
        <color theme="1"/>
        <rFont val="Arial"/>
        <family val="2"/>
      </rPr>
      <t xml:space="preserve"> 71</t>
    </r>
  </si>
  <si>
    <t xml:space="preserve">Pathfit 3: Dance </t>
  </si>
  <si>
    <t>Susan Manning;Janice Ross;Rebecca Schneider</t>
  </si>
  <si>
    <t>Futures of Dance Studies</t>
  </si>
  <si>
    <t>https://research.ebsco.com/c/fcl55w/search/details/odzffhhu6b?db=e000xww%2Cnlebk%2Cagp%2Cofm%2Cddu&amp;limiters=DT1%3A2019-11-26%2F2024-11-26&amp;q=Dance</t>
  </si>
  <si>
    <t>Lindsay Guarino;Carlos R.A. Jones;Wendy Oliver</t>
  </si>
  <si>
    <t>Rooted Jazz Dance : Africanist Aesthetics and Equity in the Twenty-First Century</t>
  </si>
  <si>
    <t>https://research.ebsco.com/c/fcl55w/search/details/vmy7uybgpz?db=e000xww%2Cnlebk%2Cagp%2Cofm%2Cddu&amp;limiters=DT1%3A2019-11-26%2F2024-11-26&amp;q=Dance</t>
  </si>
  <si>
    <t>Cir
796
A473p
v.3
2010</t>
  </si>
  <si>
    <t>Alvarez, Myrna N.</t>
  </si>
  <si>
    <t>Physical Education 3: Individual/Dual Sports</t>
  </si>
  <si>
    <t>2011-22876
2011-22877
2011-22878
2011-22879
2011-22880
2011-22881
2011-22882</t>
  </si>
  <si>
    <t>Cir
796
D582c
2009</t>
  </si>
  <si>
    <t>College Physical Education 3: Individual and Dual Sport</t>
  </si>
  <si>
    <t>2010-22056
2010-22057
2010-22058
2010-22059
2010-22060
2010-22061
2010-22062
2010-22063
2010-22064
2010-22065
2010-22066
2010-22067
2010-22068
2010-22069
2010-22070</t>
  </si>
  <si>
    <t>Cir
796.342
B319t
2000</t>
  </si>
  <si>
    <t>Bassett, Glenn</t>
  </si>
  <si>
    <t>Tennis Today</t>
  </si>
  <si>
    <t>2006-1992</t>
  </si>
  <si>
    <t>Cir
796.345
S698a
2004</t>
  </si>
  <si>
    <t>Soni, Radhika</t>
  </si>
  <si>
    <t>All About the Game of Badminton</t>
  </si>
  <si>
    <t>2008-20313</t>
  </si>
  <si>
    <t>Cir
796.346
K96t
1999</t>
  </si>
  <si>
    <t>Kumar, Ashok</t>
  </si>
  <si>
    <t>Table Tennis</t>
  </si>
  <si>
    <t>2008-20314</t>
  </si>
  <si>
    <t>SECOND YEAR:2ND SEMESTER</t>
  </si>
  <si>
    <t>CHEM 2: ORGANIC CHEMISTRY</t>
  </si>
  <si>
    <t>Gabriel Tojo Suárez</t>
  </si>
  <si>
    <t>Two Hundred Exercises in Mechanistic Organic Chemistry</t>
  </si>
  <si>
    <t>https://research.ebsco.com/c/fcl55w/search/details/t3e2sufatv?db=e000xww%2Cnlebk%2Cagp%2Cofm%2Cddu&amp;limiters=DT1%3A2019-11-26%2F2024-11-26&amp;q=Organic%20Chemistry</t>
  </si>
  <si>
    <t>Nicole Graulich;Ginger Shultz</t>
  </si>
  <si>
    <t>Student Reasoning in Organic Chemistry : Research Advances and Evidence-based Instructional Practices</t>
  </si>
  <si>
    <t>https://research.ebsco.com/c/fcl55w/search/details/x6jv75llnf?db=e000xww%2Cnlebk%2Cagp%2Cofm%2Cddu&amp;limiters=DT1%3A2019-11-26%2F2024-11-26&amp;q=Organic%20Chemistry</t>
  </si>
  <si>
    <t>Hendrik Zipse</t>
  </si>
  <si>
    <t>Reactivity and Mechanism in Organic Chemistry</t>
  </si>
  <si>
    <t>https://research.ebsco.com/c/fcl55w/search/details/vrbp4idwg5?db=e000xww%2Cnlebk%2Cagp%2Cofm%2Cddu&amp;limiters=DT1%3A2019-11-26%2F2024-11-26&amp;q=Organic%20Chemistry</t>
  </si>
  <si>
    <t>Ramesh Chandra;Snigdha Singh;Aarushi Singh</t>
  </si>
  <si>
    <t>Basic Organic Chemistry</t>
  </si>
  <si>
    <t>https://research.ebsco.com/c/fcl55w/search/details/5zksepqkun?db=e000xww%2Cnlebk%2Cagp%2Cofm%2Cddu&amp;limiters=DT1%3A2019-11-26%2F2024-11-26&amp;q=Basic%20Organic%20Chemistry</t>
  </si>
  <si>
    <t>Cir
546
N9645l
2007</t>
  </si>
  <si>
    <t xml:space="preserve">Lecture Guide in General in Organic Chemistry </t>
  </si>
  <si>
    <t>2008-20419</t>
  </si>
  <si>
    <t>Cir
547
B878i
1998</t>
  </si>
  <si>
    <t>Brown, William H.</t>
  </si>
  <si>
    <t>Introduction to Organic Chemistry</t>
  </si>
  <si>
    <t>2004-18023
2004-18024</t>
  </si>
  <si>
    <t>Cir
547
L123
2009</t>
  </si>
  <si>
    <t>Laboratory Manual in Organic Chemistry</t>
  </si>
  <si>
    <t>2010-22431
2010-22432
2010-22433</t>
  </si>
  <si>
    <t>Cir
547
L123
2014</t>
  </si>
  <si>
    <t xml:space="preserve">2016-24668
2016-24669
2016-24670
</t>
  </si>
  <si>
    <t>Cir
547
L759o
1983</t>
  </si>
  <si>
    <t>Linstromberg, Walter W.</t>
  </si>
  <si>
    <t>Organic Chemistry: A Brief Course</t>
  </si>
  <si>
    <t>1994-10129
1994-10130
1994-10131
1994-10132</t>
  </si>
  <si>
    <t>Cir
547
M167o
2011</t>
  </si>
  <si>
    <t>McMurry, John</t>
  </si>
  <si>
    <t>Organic Chemistry with Biological Applications</t>
  </si>
  <si>
    <t>2014-24047
2014-24048</t>
  </si>
  <si>
    <t>Cir
547
M168f
2010</t>
  </si>
  <si>
    <t>Foundations of Organic Chemistry</t>
  </si>
  <si>
    <t>2012-23107
2012-23108
2012-23109
2012-23110
2012-23111</t>
  </si>
  <si>
    <t>Cir
547
M315a
1985</t>
  </si>
  <si>
    <t xml:space="preserve">March, Jenny </t>
  </si>
  <si>
    <t>Advanced Organic Chemistry: Reactions, Mechanism, and Structure</t>
  </si>
  <si>
    <t>1994-10153
1994-10154
1994-10155
1994-10156</t>
  </si>
  <si>
    <t>Cir
547
M882o
1992</t>
  </si>
  <si>
    <t xml:space="preserve">Marrison, Robert T. </t>
  </si>
  <si>
    <t xml:space="preserve">Organic Chemistry </t>
  </si>
  <si>
    <t>1995-10759
1995-10760
1995-10761
1995-10762</t>
  </si>
  <si>
    <t>Cir
547
P438o
2012</t>
  </si>
  <si>
    <t>Perez, Judy D.</t>
  </si>
  <si>
    <t>Organic Chemistry Manual</t>
  </si>
  <si>
    <t>2016-24504</t>
  </si>
  <si>
    <t>Cir
547
V864l
2003</t>
  </si>
  <si>
    <t>Vizconde, Arturo D.</t>
  </si>
  <si>
    <t>Laboratory Manual in Basic Organic Chemistry</t>
  </si>
  <si>
    <t xml:space="preserve">2004-18015
2004-18016
2004-18017
</t>
  </si>
  <si>
    <t>Cir
547.007
C187o
1994</t>
  </si>
  <si>
    <t>Campbell, Bruce N.</t>
  </si>
  <si>
    <t>Organic Chemistry Experiments</t>
  </si>
  <si>
    <t>1995-12013</t>
  </si>
  <si>
    <t>Cir
547.2
M645r
1988</t>
  </si>
  <si>
    <t>Millam, Michael J.</t>
  </si>
  <si>
    <t>Reaction Guide for the Brief Organic Chemistry Course</t>
  </si>
  <si>
    <t>1994-10203
1994-10204
1994-10205
1994-10206</t>
  </si>
  <si>
    <t>Cir
547.22
B892e
2006</t>
  </si>
  <si>
    <t>Bruice, Paula Yurkanis</t>
  </si>
  <si>
    <t>Essential Organic Chemistry</t>
  </si>
  <si>
    <t>2008-21604</t>
  </si>
  <si>
    <t>Robert J. Ouellette</t>
  </si>
  <si>
    <t>Organic Chemistry : Structure, Mechanism, and Synthesis</t>
  </si>
  <si>
    <t>Zaikov, G. E.</t>
  </si>
  <si>
    <t>Organic Chemistry, Biochemistry, Biotechnology and Renewable Resources : Research and Development</t>
  </si>
  <si>
    <r>
      <rPr>
        <sz val="12"/>
        <color theme="1"/>
        <rFont val="Arial"/>
        <family val="2"/>
      </rPr>
      <t>No. of titles:</t>
    </r>
    <r>
      <rPr>
        <b/>
        <sz val="12"/>
        <color theme="1"/>
        <rFont val="Arial"/>
        <family val="2"/>
      </rPr>
      <t xml:space="preserve"> 16</t>
    </r>
  </si>
  <si>
    <r>
      <rPr>
        <sz val="12"/>
        <color theme="1"/>
        <rFont val="Arial"/>
        <family val="2"/>
      </rPr>
      <t>No. of copies:</t>
    </r>
    <r>
      <rPr>
        <b/>
        <sz val="12"/>
        <color theme="1"/>
        <rFont val="Arial"/>
        <family val="2"/>
      </rPr>
      <t xml:space="preserve"> 40</t>
    </r>
  </si>
  <si>
    <t>SOIL 1: PRINCIPLES OF SOIL AND SCIENCE</t>
  </si>
  <si>
    <t>Rameshrao Malode, Kailash</t>
  </si>
  <si>
    <t>Soil Science As an Ecological Study</t>
  </si>
  <si>
    <t>https://research.ebsco.com/c/fcl55w/search/details/7kpzz27crz?db=e000xww%2Cnlebk%2Cagp%2Cofm%2Cddu&amp;limiters=DT1%3A2019-11-26%2F2024-11-26&amp;q=Soil%20Science</t>
  </si>
  <si>
    <t>Tapan Adhikari;S.Kundu;A.Subba Rao</t>
  </si>
  <si>
    <t>Nanotechnology in Soil Science and Plant Nutrition</t>
  </si>
  <si>
    <t>https://research.ebsco.com/c/fcl55w/search/details/c75dulf2vv?db=e000xww%2Cnlebk%2Cagp%2Cofm%2Cddu&amp;limiters=DT1%3A2019-11-26%2F2024-11-26&amp;q=nanotechnology%20in%20Soil%20Science</t>
  </si>
  <si>
    <t>Soil Fertility: Characteristics, Processes and Managemen</t>
  </si>
  <si>
    <t>Chavan, U. D.</t>
  </si>
  <si>
    <t>Key Notes on Agriculture Chemistry and Soil Science : For Ready Reference to the Students, Teachers, Researchers &amp; Aspirants of Competitive Examinations</t>
  </si>
  <si>
    <t xml:space="preserve">
Hertz, Martin</t>
  </si>
  <si>
    <t>Unsaturated Soils: Behavior, Mechanics and Conditions</t>
  </si>
  <si>
    <t>https://research.ebsco.com/c/fcl55w/search/results?q=Unsaturated%20Soils%3A%20Behavior%2C%20Mechanics%20and%20Conditions&amp;autocorrect=y&amp;db=e000xww%2Cnlebk%2Cagp%2Cofm%2Cddu&amp;expanders=concept&amp;facetFilter=sourceTypes%3ANDMyQks%3D&amp;limiters=DT1%3A2014-11-27%2F2024-11-27&amp;resetPageNumber=true&amp;searchMode=boolean&amp;searchSegment=all-results</t>
  </si>
  <si>
    <t xml:space="preserve">
Margit, Aquila</t>
  </si>
  <si>
    <t>Soil Carbon : Types, Management Practices and Environmental Benefits</t>
  </si>
  <si>
    <t>Reddy, R N ed</t>
  </si>
  <si>
    <t>Soil Engineering: Testing Design and Remediation</t>
  </si>
  <si>
    <t>Miransari, Mohammad</t>
  </si>
  <si>
    <t>Soil Nutrients</t>
  </si>
  <si>
    <t>Robert E. White</t>
  </si>
  <si>
    <t>Understanding Vineyard Soils</t>
  </si>
  <si>
    <t xml:space="preserve">
Brouwer, David</t>
  </si>
  <si>
    <t>Managing for Healthy Soils</t>
  </si>
  <si>
    <t xml:space="preserve">
Mello, Frederick V.</t>
  </si>
  <si>
    <t>Soil Organic Matter : Ecology, Environmental Impact and Management</t>
  </si>
  <si>
    <r>
      <rPr>
        <sz val="12"/>
        <color theme="1"/>
        <rFont val="Arial"/>
        <family val="2"/>
      </rPr>
      <t>No. of copies:</t>
    </r>
    <r>
      <rPr>
        <b/>
        <sz val="12"/>
        <color theme="1"/>
        <rFont val="Arial"/>
        <family val="2"/>
      </rPr>
      <t xml:space="preserve"> 9</t>
    </r>
  </si>
  <si>
    <t>AGF 105: FUNDAMENTALS OF SURVEYING AND MAPPING</t>
  </si>
  <si>
    <t>Punmia, B. C.</t>
  </si>
  <si>
    <t>Surveying</t>
  </si>
  <si>
    <t>Gibson, Paul J.</t>
  </si>
  <si>
    <t>Environmental Applications of Geophysical Surveying Techniques</t>
  </si>
  <si>
    <t>AGF 107: APPLIED SOCIOLOGY</t>
  </si>
  <si>
    <t>Radej, Bojan;Golobič, Mojca</t>
  </si>
  <si>
    <t>Complex Society: In the Middle of a Middle World</t>
  </si>
  <si>
    <t>https://research.ebsco.com/c/fcl55w/search/details/rpwsl2gnbr?db=e000xww%2Cnlebk%2Cagp%2Cofm%2Cddu&amp;limiters=DT1%3A2019-11-26%2F2024-11-26&amp;q=sociology</t>
  </si>
  <si>
    <t>Chitambar, J.B</t>
  </si>
  <si>
    <t>Introductory Rural Sociology</t>
  </si>
  <si>
    <t>https://research.ebsco.com/c/fcl55w/search/details/qldrmkrxzz?db=e000xww%2Cnlebk%2Cagp%2Cofm%2Cddu&amp;limiters=DT1%3A2019-11-26%2F2024-11-26&amp;q=sociology</t>
  </si>
  <si>
    <t>William G. Tierney;Suneal Kolluri</t>
  </si>
  <si>
    <t>Relational Sociology and Research on Schools, Colleges, and Universities</t>
  </si>
  <si>
    <t>https://research.ebsco.com/c/fcl55w/search/details/mzkwj6m6f5?db=e000xww%2Cnlebk%2Cagp%2Cofm%2Cddu&amp;limiters=DT1%3A2019-11-26%2F2024-11-26&amp;q=sociology</t>
  </si>
  <si>
    <t xml:space="preserve">
Iovu, Mihai-Bogdan</t>
  </si>
  <si>
    <t>Applied Social Sciences : Sociology</t>
  </si>
  <si>
    <t>Schandl, Heinz</t>
  </si>
  <si>
    <t>Social Science and Sustainability</t>
  </si>
  <si>
    <t xml:space="preserve">
Gregory Hooks</t>
  </si>
  <si>
    <t>The Sociology of Development Handbook</t>
  </si>
  <si>
    <t>Jaworski, Jared A.</t>
  </si>
  <si>
    <t>Advances in Sociology Research</t>
  </si>
  <si>
    <t>Cir
301
M297s
2014</t>
  </si>
  <si>
    <t>Maquiso, Teresita R.</t>
  </si>
  <si>
    <t>Socio-Anthro: An Introduction to the Social Sciences</t>
  </si>
  <si>
    <t>2016-25044
2016-25045
2016-25046
2016-25047
2016-25048</t>
  </si>
  <si>
    <t>STAT1: ELEMENTARY STATISTICS</t>
  </si>
  <si>
    <t>Abhiram Dash</t>
  </si>
  <si>
    <t>Fundamentals of Agriculture Statistics</t>
  </si>
  <si>
    <t>https://research.ebsco.com/c/fcl55w/search/details/ukepk6e7cb?db=e000xww%2Cnlebk%2Cagp%2Cofm%2Cddu&amp;limiters=DT1%3A2019-11-26%2F2024-11-26&amp;q=Fundamentals%20of%20Agriculture%20Statistics</t>
  </si>
  <si>
    <t>Cir
519.5
B658e
2013</t>
  </si>
  <si>
    <t>Bluman, Allan G.</t>
  </si>
  <si>
    <t>Elementary Statistics: A Brief Version</t>
  </si>
  <si>
    <t>2014-23950
2014-23951
2014-23952
2014-23953
2014-23954</t>
  </si>
  <si>
    <t>Cir
519.5
D285e
1996</t>
  </si>
  <si>
    <t>Deauna, Melecio C.</t>
  </si>
  <si>
    <t xml:space="preserve">Elementary Statistics for Basic Education </t>
  </si>
  <si>
    <t>2000-16685
2000-16686
2000-16687
2000-16688
2000-16689</t>
  </si>
  <si>
    <t>Cir
519.5
L755e
1981</t>
  </si>
  <si>
    <t>Lingren, Bernard William</t>
  </si>
  <si>
    <t>1996-12248
1996-12249
1996-12250
1996-12251
1996-12252
1996-12253
1996-12254
1996-12255
1996-12256
1996-12257</t>
  </si>
  <si>
    <t>Cir
519.5
P139e
1986</t>
  </si>
  <si>
    <t>Pagoso, Cristobal M.</t>
  </si>
  <si>
    <t>Elementary Statistics and Probability</t>
  </si>
  <si>
    <t>1994-09956
1994-09957
1994-09958
1994-09959
1999-15970
1999-15971
1999-15972
1999-15973
1999-15974
1999-15975
1999-15976
1999-15977
1999-15978
1999-15979</t>
  </si>
  <si>
    <t>Cir
519.5
R457e
2003</t>
  </si>
  <si>
    <t>Reyes, Carmela O. Zamora</t>
  </si>
  <si>
    <t>Elementary Statistics: Text/Workbook</t>
  </si>
  <si>
    <t>2004-18060
2004-18061
2004-18062
2004-18063
2004-18064
2004-18065
2004-18066
2004-18067</t>
  </si>
  <si>
    <r>
      <rPr>
        <sz val="12"/>
        <color theme="1"/>
        <rFont val="Arial"/>
        <family val="2"/>
      </rPr>
      <t>No. of copies:</t>
    </r>
    <r>
      <rPr>
        <b/>
        <sz val="12"/>
        <color theme="1"/>
        <rFont val="Arial"/>
        <family val="2"/>
      </rPr>
      <t xml:space="preserve"> 44</t>
    </r>
  </si>
  <si>
    <t>SOCSCI 4: GENERAL ECONOMICS WITH TAXATION AND LAND REFORM</t>
  </si>
  <si>
    <t>Cir
330
L438f
2012</t>
  </si>
  <si>
    <t>Leaño, Roman D.</t>
  </si>
  <si>
    <t>Fundamentals of Economics: With Agrarian Reform, Taxation and Cooperatives (A Modular Approach)</t>
  </si>
  <si>
    <t>2014-23591
2014-23592
2014-23593
2014-23594
2014-23595</t>
  </si>
  <si>
    <t>Cir
333.54
G373s
1995</t>
  </si>
  <si>
    <t>German, Milagros A.</t>
  </si>
  <si>
    <t>Share and Leasehold Tenancy in R.A. No. 1199 and R.A. No. 3844 as Amended, Annotated with Commentaries and the History of Our Agrarian Laws until CARL-88. R.A. No. 6657 was Enacted into Law</t>
  </si>
  <si>
    <t>1997-13650
1997-13651
1997-13652
1997-13653
1997-13654</t>
  </si>
  <si>
    <t>Cir
336.2
D347f
2012</t>
  </si>
  <si>
    <t>De Leon, Hector S.</t>
  </si>
  <si>
    <t>The Fundamentals of Taxation</t>
  </si>
  <si>
    <t xml:space="preserve">
Pistone, Pasquale</t>
  </si>
  <si>
    <t>Fundamentals of Taxation : An Introduction to Tax Policy, Tax Law, and Tax Administration</t>
  </si>
  <si>
    <t xml:space="preserve">
William J. McCluskey</t>
  </si>
  <si>
    <t>Land Value Taxation : An Applied Analysis</t>
  </si>
  <si>
    <t xml:space="preserve">
Editors of Salem Press</t>
  </si>
  <si>
    <t>General Themes in Economics</t>
  </si>
  <si>
    <t>AGF 125: AGROFORESTRY GOVERNANCE, POLICIES AND PROJECTS</t>
  </si>
  <si>
    <t>Dam-de Jong, Daniëlla</t>
  </si>
  <si>
    <t>International Law and Governance of Natural Resources in Conflict and Post-Conflict Situations</t>
  </si>
  <si>
    <t xml:space="preserve">
Francesca Romanin Jacur</t>
  </si>
  <si>
    <t>Natural Resources Grabbing: An International Law Perspective</t>
  </si>
  <si>
    <t>Lohse, Eva Julia</t>
  </si>
  <si>
    <t>Best Practices for the Protection of Water by Law : Focus on Participatory Instruments in Environmental Law and Politics</t>
  </si>
  <si>
    <t>Louis J. Kotzé</t>
  </si>
  <si>
    <t>Transboundary Governance of Biodiversity</t>
  </si>
  <si>
    <t>Robbins, Kalyani</t>
  </si>
  <si>
    <t>The Laws of Nature : Reflections on the Evolution of Ecosystem Management Law &amp; Policy</t>
  </si>
  <si>
    <t>PathFit 4: Sports</t>
  </si>
  <si>
    <t>Karel Dupuis</t>
  </si>
  <si>
    <t>Essential Topics in Basketball</t>
  </si>
  <si>
    <t>https://research.ebsco.com/c/fcl55w/search/details/pdba4wh7sr?db=e000xww%2Cnlebk%2Cagp%2Cofm%2Cddu&amp;limiters=DT1%3A2019-11-26%2F2024-11-26&amp;q=Essential%20Topics%20in%20Basketball</t>
  </si>
  <si>
    <t>Gerry Kavanaugh</t>
  </si>
  <si>
    <t>Race, Politics, and Basketball : A Cultural Education of Everyday Life</t>
  </si>
  <si>
    <t xml:space="preserve">
Mike Schwartz</t>
  </si>
  <si>
    <t>Essential Topics in Tennis and Volleyball</t>
  </si>
  <si>
    <t>Cir
796.3
A473p
v.4
2011</t>
  </si>
  <si>
    <t xml:space="preserve">Physical Education 4: Team Sports </t>
  </si>
  <si>
    <t>2011-22883
2011-22884
2011-22885
2011-22886
2011-22887
2011-22888
2011-22889</t>
  </si>
  <si>
    <t>Cir
796.3
C153p
v.4
2013</t>
  </si>
  <si>
    <t>Calicdan, Antonio V.</t>
  </si>
  <si>
    <t>Physical Education 4: Team Sports</t>
  </si>
  <si>
    <t>2016-25353
2016-25354
2016-25355
2016-25356
2016-25357
2016-25358
2016-25359
2016-25360
2016-25361
2016-25362</t>
  </si>
  <si>
    <t>Cir
796.44
S961p
2014</t>
  </si>
  <si>
    <t>Surio, Cecilia B.</t>
  </si>
  <si>
    <t>Physical Fitness and Basketball</t>
  </si>
  <si>
    <t>2016-25363
2016-25364
2016-25365
2016-25366
2016-25367
2016-25368
2016-25369
2016-25370
2016-25371
2016-25372</t>
  </si>
  <si>
    <r>
      <rPr>
        <sz val="12"/>
        <color theme="1"/>
        <rFont val="Arial"/>
        <family val="2"/>
      </rPr>
      <t>No. of copies:</t>
    </r>
    <r>
      <rPr>
        <b/>
        <sz val="12"/>
        <color theme="1"/>
        <rFont val="Arial"/>
        <family val="2"/>
      </rPr>
      <t xml:space="preserve"> 29</t>
    </r>
  </si>
  <si>
    <t>THIRD YEAR:FIRST SEMESTER</t>
  </si>
  <si>
    <t>IPM: INTEGRATED PEST MANAGEMENT</t>
  </si>
  <si>
    <t>FAO, DPPQS</t>
  </si>
  <si>
    <t>Integrated Pest Management (IPM) Farmer Field School (FFS)</t>
  </si>
  <si>
    <t>https://research.ebsco.com/c/fcl55w/search/details/vi7hhklqjv?db=e000xww%2Cnlebk%2Cagp%2Cofm%2Cddu&amp;limiters=DT1%3A2019-11-26%2F2024-11-26&amp;q=Integrated%20Pest%20Management</t>
  </si>
  <si>
    <t>D.P. Abrol;U.Shankar</t>
  </si>
  <si>
    <t>Ecologically Based Integrated Pest Management (Set of 2 Vols.)</t>
  </si>
  <si>
    <t>https://research.ebsco.com/c/fcl55w/search/details/racnzqzlgj?db=e000xww%2Cnlebk%2Cagp%2Cofm%2Cddu&amp;limiters=DT1%3A2019-11-26%2F2024-11-26&amp;q=Ecologically%20-%20based</t>
  </si>
  <si>
    <t>Beehag, Gary W</t>
  </si>
  <si>
    <t>Pest Management of Turfgrass for Sport and Recreation</t>
  </si>
  <si>
    <t>N. Emmanuel, A. Sujatha, Tskk Kiran Pratro, M. L. N.</t>
  </si>
  <si>
    <t>Textbook on Integrated Pest Management of Horticultural Crops</t>
  </si>
  <si>
    <t>Anandrao, Laichattiwar Mukesh</t>
  </si>
  <si>
    <t>Greenhouse Pest Management</t>
  </si>
  <si>
    <t xml:space="preserve">
2324388</t>
  </si>
  <si>
    <t xml:space="preserve">
Dharam P Abrol</t>
  </si>
  <si>
    <t>Integrated Pest Management : Current Concepts and Ecological Perspective</t>
  </si>
  <si>
    <t>Lawrence A. Lacey</t>
  </si>
  <si>
    <t>Microbial Control of Insect and Mite Pests : From Theory to Practice</t>
  </si>
  <si>
    <t xml:space="preserve">
Sridhara, S.</t>
  </si>
  <si>
    <t>Vertebrate Pests in Agriculture</t>
  </si>
  <si>
    <t xml:space="preserve">
Chachalis, Demosthenis</t>
  </si>
  <si>
    <t>Weed and Pest Control : Molecular Biology, Practices and Environmental Impact</t>
  </si>
  <si>
    <r>
      <rPr>
        <sz val="12"/>
        <color theme="1"/>
        <rFont val="Arial"/>
        <family val="2"/>
      </rPr>
      <t>No. of copies:</t>
    </r>
    <r>
      <rPr>
        <b/>
        <sz val="12"/>
        <color theme="1"/>
        <rFont val="Arial"/>
        <family val="2"/>
      </rPr>
      <t xml:space="preserve"> 8</t>
    </r>
  </si>
  <si>
    <t>AGF 104: APPLIED PLANT PHYSIOLOGY FOR AGROFORESTRY</t>
  </si>
  <si>
    <t>Tajinder, Kaur;Saroj, Arora</t>
  </si>
  <si>
    <t>Environmental Stress Physiology of Plants and Crop Productivity</t>
  </si>
  <si>
    <t>https://research.ebsco.com/c/fcl55w/search/details/dqksmilvuf?db=e000xww%2Cnlebk%2Cagp%2Cofm%2Cddu&amp;limiters=DT1%3A2019-11-26%2F2024-11-26&amp;q=Environmental%20Stress%20</t>
  </si>
  <si>
    <t>Savita Bhardwaj</t>
  </si>
  <si>
    <t>Plant Growth Regulators and Their Role in Salinity Stress Tolerance in Plants</t>
  </si>
  <si>
    <t>https://research.ebsco.com/c/fcl55w/search/details/eiddlaidzr?db=e000xww%2Cnlebk%2Cagp%2Cofm%2Cddu&amp;limiters=DT1%3A2019-11-26%2F2024-11-26&amp;q=Plant%20Physiology</t>
  </si>
  <si>
    <t>Esha Rami</t>
  </si>
  <si>
    <t>Plant Stress Physiology</t>
  </si>
  <si>
    <t>https://research.ebsco.com/c/fcl55w/search/details/pd3ui5ntnj?db=e000xww%2Cnlebk%2Cagp%2Cofm%2Cddu&amp;limiters=DT1%3A2019-11-26%2F2024-11-26&amp;q=Plant%20Stress%20Physiology</t>
  </si>
  <si>
    <t>Hyrandir Melo</t>
  </si>
  <si>
    <t>The Sensory Biology, Communication, Memory and Intelligence of Plants</t>
  </si>
  <si>
    <t>https://research.ebsco.com/c/fcl55w/search/details/cgknres5nn?db=e000xww%2Cnlebk%2Cagp%2Cofm%2Cddu&amp;limiters=DT1%3A2019-11-26%2F2024-11-26&amp;q=Plant%20Physiology</t>
  </si>
  <si>
    <t xml:space="preserve">
Hemantaranjan, A.</t>
  </si>
  <si>
    <t xml:space="preserve">
Karl J. Niklas</t>
  </si>
  <si>
    <t>Plant Physics</t>
  </si>
  <si>
    <t xml:space="preserve">
Punj, Shreya</t>
  </si>
  <si>
    <t>Abiotic Stress: New Research</t>
  </si>
  <si>
    <t xml:space="preserve">
Horst Marschner</t>
  </si>
  <si>
    <t>Marschner's Mineral Nutrition of Higher Plants</t>
  </si>
  <si>
    <t xml:space="preserve">
Pandey, Divya</t>
  </si>
  <si>
    <t>Sustaining Future Food Security in Changing Environments</t>
  </si>
  <si>
    <t>AGF 106: AGROFORESTRY ECOLOGY</t>
  </si>
  <si>
    <t>Rishikesh Upadhyay</t>
  </si>
  <si>
    <t>The Life of Plants in a Changing Environment</t>
  </si>
  <si>
    <t>https://research.ebsco.com/c/fcl55w/search/details/esuaq3ypyf?db=e000xww%2Cnlebk%2Cagp%2Cofm%2Cddu&amp;limiters=DT1%3A2019-11-26%2F2024-11-26&amp;q=The%20Life%20of%20Plants%20in%20a%20Changing%20Environment</t>
  </si>
  <si>
    <t xml:space="preserve">
Marianne E. Krasny</t>
  </si>
  <si>
    <t>Civic Ecology : Adaptation and Transformation From the Ground Up</t>
  </si>
  <si>
    <t xml:space="preserve">
Stephen K. Hamilton</t>
  </si>
  <si>
    <t>The Ecology of Agricultural Landscapes : Long-Term Research on the Path to Sustainability</t>
  </si>
  <si>
    <t xml:space="preserve">
944710</t>
  </si>
  <si>
    <t xml:space="preserve">
Cauterruccio, Luis</t>
  </si>
  <si>
    <t>Moths: Types, Ecological Significance, and Control Methods</t>
  </si>
  <si>
    <t>Fernandes, Adrian T.</t>
  </si>
  <si>
    <t>Invasive Species: Threats, Ecological Impact and Control Methods</t>
  </si>
  <si>
    <t xml:space="preserve">
Margaret D. Lowman</t>
  </si>
  <si>
    <t>Methods in Forest Canopy Research</t>
  </si>
  <si>
    <t>Rai, Prabhat Kumar</t>
  </si>
  <si>
    <t>Plant Invasion Ecology: Impacts and Sustainable Management</t>
  </si>
  <si>
    <r>
      <rPr>
        <sz val="12"/>
        <color theme="1"/>
        <rFont val="Arial"/>
        <family val="2"/>
      </rPr>
      <t>No. of copies:</t>
    </r>
    <r>
      <rPr>
        <b/>
        <sz val="12"/>
        <color theme="1"/>
        <rFont val="Arial"/>
        <family val="2"/>
      </rPr>
      <t xml:space="preserve"> 6</t>
    </r>
  </si>
  <si>
    <t>AGF 110: COMMUNITY ORGANIZING</t>
  </si>
  <si>
    <t>CHOLE, R.R</t>
  </si>
  <si>
    <t>ENTREPRENEURSHIP DEVELOPMENT AND COMMUNICATION SKILLS</t>
  </si>
  <si>
    <t xml:space="preserve">
Forster O. Ndubisi</t>
  </si>
  <si>
    <t>The Ecological Design and Planning Reader</t>
  </si>
  <si>
    <t>Silori, Chandra Shekhar</t>
  </si>
  <si>
    <t>Biodiversity, Communities, and Climate Change</t>
  </si>
  <si>
    <t>AGF 145: AGROFORESTRY RESEARCH METHODS</t>
  </si>
  <si>
    <t xml:space="preserve">
Ayiro, Laban P.</t>
  </si>
  <si>
    <t>A Functional Approach to Educational Research Methods and Statistics : Qualitative, Quantitative, and Mixed Methods Approaches</t>
  </si>
  <si>
    <t xml:space="preserve">
Collins, Edan P.</t>
  </si>
  <si>
    <t>ELEC 1: MAJOR ELECTIVE 1 (AGEC, ABUS,AGEX SUBJECTS)</t>
  </si>
  <si>
    <t>THIRD YEAR: SECOND SEMESTER</t>
  </si>
  <si>
    <t>GEC12:Environmental Science</t>
  </si>
  <si>
    <t>Dominik Lucas</t>
  </si>
  <si>
    <t>Nova Excerpts: Environmental Sciences</t>
  </si>
  <si>
    <t>https://research.ebsco.com/c/fcl55w/search/details/2zvgxkm5en?db=e000xww%2Cnlebk%2Cagp%2Cofm%2Cddu&amp;limiters=DT1%3A2019-11-26%2F2024-11-26&amp;q=Environmental%20Science</t>
  </si>
  <si>
    <t>Abasaheb More, Kiran</t>
  </si>
  <si>
    <t>Ecological Studies in Environmental Science: New Insights and Perspectives</t>
  </si>
  <si>
    <t>https://research.ebsco.com/c/fcl55w/search/details/vcqlk5aoq5?db=e000xww%2Cnlebk%2Cagp%2Cofm%2Cddu&amp;limiters=DT1%3A2019-11-26%2F2024-11-26&amp;q=Environmental%20Science</t>
  </si>
  <si>
    <t>P. Sivashanmugam</t>
  </si>
  <si>
    <t>Basics of Environmental Science and Engineering</t>
  </si>
  <si>
    <t>https://research.ebsco.com/c/fcl55w/search/details/lsxl4tpcrj?db=e000xww%2Cnlebk%2Cagp%2Cofm%2Cddu&amp;limiters=DT1%3A2019-11-26%2F2024-11-26&amp;q=Basics%20of%20Environmental%20Science%20and%20Engineering</t>
  </si>
  <si>
    <t>Roshan Man Bajracharya</t>
  </si>
  <si>
    <t>Sustainable Natural Resource Management in the Himalayan Region: Livelihood and Climate Change</t>
  </si>
  <si>
    <t>https://research.ebsco.com/c/fcl55w/search/details/msfa5seu4f?db=e000xww%2Cnlebk%2Cagp%2Cofm%2Cddu&amp;limiters=DT1%3A2019-11-26%2F2024-11-26&amp;q=Sustainable%20Natural%20Resource%20Management%20in%20the%20Himalayan%20Region%3A%20Livelihood%20and%20Climate%20Change</t>
  </si>
  <si>
    <t>AGF 102: AGROFORESTRY NURSERY MANAGEMENT</t>
  </si>
  <si>
    <t>Sachin Tyagi</t>
  </si>
  <si>
    <t>Advanced Techniques: Volume 06: Hi Tech Horticulture</t>
  </si>
  <si>
    <t>https://research.ebsco.com/c/fcl55w/search/details/kk65sjuafr?db=e000xww%2Cnlebk%2Cagp%2Cofm%2Cddu&amp;limiters=DT1%3A2019-11-26%2F2024-11-26&amp;q=nursery%20management</t>
  </si>
  <si>
    <t>Crop Improvement,Nursery and Rootstock Management: Vol.01 Hitech Horticulture</t>
  </si>
  <si>
    <t>https://research.ebsco.com/c/fcl55w/search/details/hx5s7jzdjz?db=e000xww%2Cnlebk%2Cagp%2Cofm%2Cddu&amp;limiters=DT1%3A2019-11-26%2F2024-11-26&amp;q=Sachin%20Tyagi</t>
  </si>
  <si>
    <t>Kaushal Kumar</t>
  </si>
  <si>
    <t>Fruit Nursery Production</t>
  </si>
  <si>
    <t xml:space="preserve">
Nakar, R. N.</t>
  </si>
  <si>
    <t>MEDICINAL PLANTS : Cultivation and Uses</t>
  </si>
  <si>
    <t xml:space="preserve">
Sanjeevi, Shiv</t>
  </si>
  <si>
    <t>Cloning in Plants : New Developments</t>
  </si>
  <si>
    <t xml:space="preserve">
Costs, Alfieri</t>
  </si>
  <si>
    <t>Plant Extracts: Role in Agriculture, Health Effects and Medicinal Applications</t>
  </si>
  <si>
    <t xml:space="preserve">
561598</t>
  </si>
  <si>
    <t xml:space="preserve">
Pereira, David Alexandre Micael</t>
  </si>
  <si>
    <t>Medicinal Plants : Antioxidant Properties, Traditional Uses and Conservation Strategies</t>
  </si>
  <si>
    <t xml:space="preserve">
Hu, Jiang Lo</t>
  </si>
  <si>
    <t>Transgenic Plants: Recent Developments</t>
  </si>
  <si>
    <r>
      <rPr>
        <sz val="12"/>
        <color theme="1"/>
        <rFont val="Arial"/>
        <family val="2"/>
      </rPr>
      <t>No. of copies:</t>
    </r>
    <r>
      <rPr>
        <b/>
        <sz val="12"/>
        <color theme="1"/>
        <rFont val="Arial"/>
        <family val="2"/>
      </rPr>
      <t xml:space="preserve"> 17</t>
    </r>
  </si>
  <si>
    <t>AGF 135: SOIL AND WATER CONSERVATION</t>
  </si>
  <si>
    <t>Gupta, S K</t>
  </si>
  <si>
    <t>Fundamentals of Soil and Water Conservation Engineering</t>
  </si>
  <si>
    <t>https://research.ebsco.com/c/fcl55w/search/details/rdsvsy66hb?db=e000xww%2Cnlebk%2Cagp%2Cofm%2Cddu&amp;limiters=DT1%3A2019-11-27%2F2024-11-27&amp;q=Soil%20and%20Water%20Conservation</t>
  </si>
  <si>
    <t>Hanuman Singh Jatav</t>
  </si>
  <si>
    <t>Sustainable Soil Fertility Management</t>
  </si>
  <si>
    <t>https://research.ebsco.com/c/fcl55w/search/details/cp5kj6h75b?db=e000xww%2Cnlebk%2Cagp%2Cofm%2Cddu&amp;limiters=None&amp;q=Sustainable%20Soil%20Fertility%20Management</t>
  </si>
  <si>
    <t>Ana Milanović Pešić</t>
  </si>
  <si>
    <t>Water Resources Management: Methods, Applications and Challenges</t>
  </si>
  <si>
    <t>https://research.ebsco.com/c/fcl55w/search/details/uvo6mehvjf?db=e000xww%2Cnlebk%2Cagp%2Cofm%2Cddu&amp;limiters=None&amp;q=Water%20Resources%20Management%3A%20Methods%2C%20Applications%20and%20Challenges</t>
  </si>
  <si>
    <t>Miodrag Zlatic</t>
  </si>
  <si>
    <t>Global Change : Challenges for Soil Management</t>
  </si>
  <si>
    <t>https://research.ebsco.com/c/fcl55w/search/details/mbhgx3yewb?db=e000xww%2Cnlebk%2Cagp%2Cofm%2Cddu&amp;limiters=DT1%3A2019-11-27%2F2024-11-27&amp;q=Soil%20and%20Water%20Conservation</t>
  </si>
  <si>
    <t>Theiss, Alan S.</t>
  </si>
  <si>
    <t>Conservation in Agriculture: Water Demands, Irrigation, and Drought Adaptation</t>
  </si>
  <si>
    <t>Imteaz, Monzur A.</t>
  </si>
  <si>
    <t>Water Conservation: Practices, Challenges, and Future Implications</t>
  </si>
  <si>
    <t xml:space="preserve">
Laureano, Pietro</t>
  </si>
  <si>
    <t>Water Conservation Techniques in Traditional Human Settlements</t>
  </si>
  <si>
    <r>
      <rPr>
        <sz val="12"/>
        <color theme="1"/>
        <rFont val="Arial"/>
        <family val="2"/>
      </rPr>
      <t>No. of titles:</t>
    </r>
    <r>
      <rPr>
        <b/>
        <sz val="12"/>
        <color theme="1"/>
        <rFont val="Arial"/>
        <family val="2"/>
      </rPr>
      <t xml:space="preserve"> 4</t>
    </r>
  </si>
  <si>
    <t>AGF 115: DIAGNOSIS, DESIGN AND APPRAISAL OF AGROFORESTRY SYSTEM</t>
  </si>
  <si>
    <t>https://research.ebsco.com/c/fcl55w/search/details/evvptxfxb5?db=e000xww%2Cnlebk%2Cagp%2Cofm%2Cddu&amp;limiters=DT1%3A2019-11-27%2F2024-11-27&amp;q=Agroforestry%20System</t>
  </si>
  <si>
    <t>Sunil Puri;Pankaj Panwar</t>
  </si>
  <si>
    <t>Agroforestry: Systems and Practices</t>
  </si>
  <si>
    <t>https://research.ebsco.com/c/fcl55w/search/details/4cvbgg4lt5?db=e000xww%2Cnlebk%2Cagp%2Cofm%2Cddu&amp;limiters=DT1%3A2019-11-27%2F2024-11-27&amp;q=Agroforestry%20System</t>
  </si>
  <si>
    <t>Amerasinghe, Nihal</t>
  </si>
  <si>
    <t>Design Appraisal and Management of Sustainable Development Projects</t>
  </si>
  <si>
    <r>
      <rPr>
        <sz val="12"/>
        <color theme="1"/>
        <rFont val="Arial"/>
        <family val="2"/>
      </rPr>
      <t>No. of titles:</t>
    </r>
    <r>
      <rPr>
        <b/>
        <sz val="12"/>
        <color theme="1"/>
        <rFont val="Arial"/>
        <family val="2"/>
      </rPr>
      <t xml:space="preserve"> 1</t>
    </r>
  </si>
  <si>
    <r>
      <rPr>
        <sz val="12"/>
        <color theme="1"/>
        <rFont val="Arial"/>
        <family val="2"/>
      </rPr>
      <t>No. of copies:</t>
    </r>
    <r>
      <rPr>
        <b/>
        <sz val="12"/>
        <color theme="1"/>
        <rFont val="Arial"/>
        <family val="2"/>
      </rPr>
      <t xml:space="preserve"> 1</t>
    </r>
  </si>
  <si>
    <t>ELEC 2: MAJOR ELECTIVE 2 DISASTER RISK MANAGEMENT</t>
  </si>
  <si>
    <t xml:space="preserve">
Simon Bennett</t>
  </si>
  <si>
    <t>Innovative Thinking in Risk, Crisis, and Disaster Management</t>
  </si>
  <si>
    <t xml:space="preserve">
442444</t>
  </si>
  <si>
    <t>Linwood, Karina</t>
  </si>
  <si>
    <t>Natural Disasters : Typhoons and Landslides-- Risk Prediction, Crisis Management and Environmental Impacts</t>
  </si>
  <si>
    <t xml:space="preserve">
Rajib Shaw</t>
  </si>
  <si>
    <t>Environment Disaster Linkages</t>
  </si>
  <si>
    <t xml:space="preserve">
Mrdja, Svetomir</t>
  </si>
  <si>
    <t>Natural Disasters: Prevention, Risk Factors, and Management</t>
  </si>
  <si>
    <t xml:space="preserve">
Emerald Group Publishing Limited</t>
  </si>
  <si>
    <t>New Perspectives in Global Environmental Disasters</t>
  </si>
  <si>
    <t>AGF 190: SEMINAR IN AGROFORESTRY</t>
  </si>
  <si>
    <t>AGF 200: ENTREPRENEURSHIP OR THESIS</t>
  </si>
  <si>
    <t>Jeremy Short</t>
  </si>
  <si>
    <t>Social Entrepreneurship and Research Methods</t>
  </si>
  <si>
    <t>Dagar, J. C.</t>
  </si>
  <si>
    <t>AGF 120: INDUSTRIAL AGROFORESTRY PROJECT PLANNING AND MANAGEMENT</t>
  </si>
  <si>
    <t>Wafullah, Nekesah T.</t>
  </si>
  <si>
    <t>Agriculture and Industrial Development</t>
  </si>
  <si>
    <t>AGF 130: AGROFORESTRY PRODUCTION AND MANAGEMENT SYSTEMS</t>
  </si>
  <si>
    <t>AGF 140: ENTREPRENEURSHIP IN AGROFORESTRY</t>
  </si>
  <si>
    <t xml:space="preserve">
Adhikary, M. M.</t>
  </si>
  <si>
    <t>Enterprise and Entrepreneurship for Agri-business Management and Planning : The Global Perspective</t>
  </si>
  <si>
    <t>AGF 150: AGROFORESTRY EXTENSION MODELS AND APPROACHES</t>
  </si>
  <si>
    <t>Mishra, B P</t>
  </si>
  <si>
    <t>Doubling Farmers Income Through Appropriate Agricultural Technologies and Extension Approaches</t>
  </si>
  <si>
    <t>https://research.ebsco.com/c/fcl55w/search/details/cew55yiogv?db=e000xww%2Cnlebk%2Cagp%2Cofm%2Cddu&amp;limiters=DT1%3A2019-11-27%2F2024-11-27&amp;q=Doubling%20Farmers%20Income%20Through%20Appropriate%20Agricultural%20Technologies%20and%20Extension%20Approaches</t>
  </si>
  <si>
    <t>R. Saravanan</t>
  </si>
  <si>
    <t>Mobile Phones for Agricultural Extension</t>
  </si>
  <si>
    <t>https://research.ebsco.com/c/fcl55w/search/details/votwk5dtnz?db=e000xww%2Cnlebk%2Cagp%2Cofm%2Cddu&amp;limiters=DT1%3A2019-11-27%2F2024-11-27&amp;q=Mobile%20Phones%20for%20Agricultural%20Extension</t>
  </si>
  <si>
    <t>ICTs for Agricultural Extension: Global Experiments,Innovations and Experiences</t>
  </si>
  <si>
    <t>https://research.ebsco.com/c/fcl55w/search/details/sttye73uo5?db=e000xww%2Cnlebk%2Cagp%2Cofm%2Cddu&amp;limiters=DT1%3A2019-11-27%2F2024-11-27&amp;q=ICTs%20for%20Agricultural%20Extension%3A%20Global%20Experiments%2CInnovations%20and%20Experiences</t>
  </si>
  <si>
    <t>ELEC 3: MAJOR ELECTIVE 3(RESOURCE MANAGEMENT/BIODIVERSITY CONSERVATION AND MANAGEMENT)</t>
  </si>
  <si>
    <t>Rai, Suresh Chand</t>
  </si>
  <si>
    <t>Ecotourism and Biodiversity Conservation</t>
  </si>
  <si>
    <t>Pullaiah T,G. Meerabai</t>
  </si>
  <si>
    <t>Plant Biodiversity Conservation and Management</t>
  </si>
  <si>
    <t xml:space="preserve">
1074651</t>
  </si>
  <si>
    <t xml:space="preserve">
Silori, Chandra Shekhar</t>
  </si>
  <si>
    <t xml:space="preserve">
Lindenmayer, David B.</t>
  </si>
  <si>
    <t>Effective Ecological Monitoring</t>
  </si>
  <si>
    <t xml:space="preserve">
Davies, Jonathan</t>
  </si>
  <si>
    <t>Conservation and Sustainable Development : Linking Practice and Policy</t>
  </si>
  <si>
    <t>FOURTH YEAR: SECOND SEMESTER</t>
  </si>
  <si>
    <t xml:space="preserve">         Administrative  Aide III</t>
  </si>
  <si>
    <t xml:space="preserve">                     DOLORES C. PEREZ</t>
  </si>
  <si>
    <t xml:space="preserve">                        College Librarian I</t>
  </si>
  <si>
    <r>
      <rPr>
        <sz val="13"/>
        <color theme="1"/>
        <rFont val="Arial"/>
        <family val="2"/>
      </rPr>
      <t xml:space="preserve">Republic of the Philippines
CENTRAL BICOL STATE UNIVERSITY OF AGRICULTURE
Impig, Sipocot, Camarines Sur 4408
Website: </t>
    </r>
    <r>
      <rPr>
        <i/>
        <u/>
        <sz val="13"/>
        <color theme="4"/>
        <rFont val="Arial"/>
        <family val="2"/>
      </rPr>
      <t>www.cbsua.edu.ph</t>
    </r>
    <r>
      <rPr>
        <sz val="13"/>
        <color theme="1"/>
        <rFont val="Arial"/>
        <family val="2"/>
      </rPr>
      <t xml:space="preserve">
Email Address: </t>
    </r>
    <r>
      <rPr>
        <i/>
        <u/>
        <sz val="13"/>
        <color theme="4"/>
        <rFont val="Arial"/>
        <family val="2"/>
      </rPr>
      <t>cbsua.sipocot@cbsua.edu.ph</t>
    </r>
    <r>
      <rPr>
        <sz val="13"/>
        <color theme="1"/>
        <rFont val="Arial"/>
        <family val="2"/>
      </rPr>
      <t xml:space="preserve">
Trunkline: (054) 881-6681</t>
    </r>
  </si>
  <si>
    <t>Cir 303.483 M169s 2024</t>
  </si>
  <si>
    <t>McNamara, Daniel Joseph; Valverde, Vida Mia; Beleno, Ramon, III</t>
  </si>
  <si>
    <t>Science, Technology and Society, Second edition</t>
  </si>
  <si>
    <t>For processing</t>
  </si>
  <si>
    <t>3G E-Learning LLC, USA</t>
  </si>
  <si>
    <t>2022-27519</t>
  </si>
  <si>
    <t>Grunwald, Armin</t>
  </si>
  <si>
    <t>Technology Assessment in Practice and Theory</t>
  </si>
  <si>
    <t>2022-27528</t>
  </si>
  <si>
    <t>Cir 510 N758e 2024</t>
  </si>
  <si>
    <t>Nocon, Rizaldi C; Nocon, Ederline G.</t>
  </si>
  <si>
    <t>Essential Mathematics for the MOdern World</t>
  </si>
  <si>
    <t>Cir 510 B197m 2024</t>
  </si>
  <si>
    <t xml:space="preserve">Baltazar, Ethel Cecille;Ragasa, Carmelita; Evangelista, Justina </t>
  </si>
  <si>
    <t>Mathematics in the Modern World, Second Edition</t>
  </si>
  <si>
    <t>Cir 170P281e 2023</t>
  </si>
  <si>
    <t>Pasco, Marc Oliver D; Suarez, V. Fullente; Rodriguez[, Martin G.</t>
  </si>
  <si>
    <t>Ethics, Second Edition</t>
  </si>
  <si>
    <t>Cir 355.223 V726h v.1 2023</t>
  </si>
  <si>
    <t>Villasoto, Herminigildo ; Villasoto, Noemie S.</t>
  </si>
  <si>
    <t>Human Person Gearing Towards Social Development: NSTP-CWTS 1, A worktext for College Students</t>
  </si>
  <si>
    <t>for processing</t>
  </si>
  <si>
    <t>Cir 808.51 V483c 2024</t>
  </si>
  <si>
    <t>Verdeber Rudolph F; Sellnow, Deanna D; Verderber, Kthleen S.</t>
  </si>
  <si>
    <t>The Challenge of Effective Speaking in Digital Age, 18th Edition</t>
  </si>
  <si>
    <t>Cir 658.45 C692c 2023</t>
  </si>
  <si>
    <t>Coleman, Amanda</t>
  </si>
  <si>
    <t>Crisis Communication Strategies: Prepare, Respond and Recover Effectively in Unpredictable and Urgent Situations, Secon Edition</t>
  </si>
  <si>
    <t>Cir 428.13 E58 2023</t>
  </si>
  <si>
    <t>Sardegma, VeronicaG.</t>
  </si>
  <si>
    <t>English Pronounciation Teaching:Theory, Practice and Research Findings</t>
  </si>
  <si>
    <t>Cir 428.007 J66t 2022</t>
  </si>
  <si>
    <t>Johnson, Denise; Dobler, Elizabeth;Wolsey, Thomas Devere</t>
  </si>
  <si>
    <t>Teachng the Language Arts: Forward Thinking in Today's Classrooms, Second Edition</t>
  </si>
  <si>
    <t>https://research.ebsco.com/c/fcl55w/search/details/b4v2h3mitf?db=e000xww%2Cnlebk%2Cagp%2Cofm%2Cddu&amp;limiters=None&amp;q=Practices%20of%20Oral%20Performance</t>
  </si>
  <si>
    <t>Teaching and Assessing Intercultural Communicative Competence : Revisited</t>
  </si>
  <si>
    <t>https://research.ebsco.com/c/fcl55w/search/details/dsrjubpz6v?db=e000xww%2Cnlebk%2Cagp%2Cofm%2Cddu&amp;limiters=None&amp;q=Teaching%20and%20Assessing%20Intercultural</t>
  </si>
  <si>
    <t>Chien-Wen Kung</t>
  </si>
  <si>
    <t>Diasporic Cold Warriors : Nationalist China, Anticommunism, and the Philippine Chinese, 1930s–1970s</t>
  </si>
  <si>
    <t>https://research.ebsco.com/c/fcl55w/search/details/lpcmlbll6f?db=e000xww%2Cnlebk%2Cagp%2Cofm%2Cddu&amp;limiters=None&amp;q=Diasporic%20Cold%20Warriors</t>
  </si>
  <si>
    <t>Steffen Bo Jensen;Karl Hapal</t>
  </si>
  <si>
    <t>Communal Intimacy and the Violence of Politics : Understanding the War on Drugs in Bagong Silang, Philippines</t>
  </si>
  <si>
    <t>https://research.ebsco.com/c/fcl55w/search/details/hynyvg3s65?db=e000xww%2Cnlebk%2Cagp%2Cofm%2Cddu&amp;limiters=None&amp;q=Communal%20Intimacy</t>
  </si>
  <si>
    <t>John T. Sidel</t>
  </si>
  <si>
    <t>Republicanism, Communism, Islam : Cosmopolitan Origins of Revolution in Southeast Asia</t>
  </si>
  <si>
    <t>https://research.ebsco.com/c/fcl55w/search/details/iqi55vpv7r?db=e000xww%2Cnlebk%2Cagp%2Cofm%2Cddu&amp;limiters=None&amp;q=Republicanism%2C%20Communism</t>
  </si>
  <si>
    <t>James K Morningstar</t>
  </si>
  <si>
    <t>War and Resistance in the Philippines, 1942-1944</t>
  </si>
  <si>
    <t>https://research.ebsco.com/c/fcl55w/search/details/xs7nw5egvz?db=e000xww%2Cnlebk%2Cagp%2Cofm%2Cddu&amp;limiters=None&amp;q=War%20and%20Resistance%20in%20the%20Philippines</t>
  </si>
  <si>
    <t>Russel, Karin L</t>
  </si>
  <si>
    <t>Write Now, Fourth Edition</t>
  </si>
  <si>
    <t>Cir 808.042 H295w 2023</t>
  </si>
  <si>
    <t>Harper, Rebecca G.</t>
  </si>
  <si>
    <t>Writing Workouts, Grade 6-12: Strategies to Build Students Writing Skills, Stamina and Success</t>
  </si>
  <si>
    <t>https://research.ebsco.com/c/fcl55w/search/details/yu5ajjwwzr?db=e000xww%2Cnlebk%2Cagp%2Cofm%2Cddu&amp;limiters=DT1%3A2014-11-27%2F2024-11-27&amp;q=Scientific%20Writing%20%3D%20Thinking%20in%20Words</t>
  </si>
  <si>
    <t>FIRST YEAR - 2nd Semester</t>
  </si>
  <si>
    <t>Cir 909.83 C961 2024</t>
  </si>
  <si>
    <t>Cruz, Frances Antoinette C.</t>
  </si>
  <si>
    <t xml:space="preserve">The Contemporary World </t>
  </si>
  <si>
    <t>Victor Konrad;Melissa Kelly</t>
  </si>
  <si>
    <t>Borders, Culture, and Globalization : A Canadian Perspective</t>
  </si>
  <si>
    <t>https://research.ebsco.com/c/fcl55w/search/details/bckpuyex45?db=e000xww%2Cnlebk%2Cagp%2Cofm%2Cddu&amp;limiters=None&amp;q=Borders%2C%20Culture</t>
  </si>
  <si>
    <t>Eamonn Butler</t>
  </si>
  <si>
    <t>Introduction to Trade and Globalisation</t>
  </si>
  <si>
    <t>https://research.ebsco.com/c/fcl55w/search/details/ci35sgjyxr?db=e000xww%2Cnlebk%2Cagp%2Cofm%2Cddu&amp;limiters=None&amp;q=Introduction%20to%20trade</t>
  </si>
  <si>
    <t>Ray Kiely</t>
  </si>
  <si>
    <t>The Conservative Challenge to Globalization : Anglo-American Perspectives</t>
  </si>
  <si>
    <t>https://research.ebsco.com/c/fcl55w/search/details/pis7byueaj?db=e000xww%2Cnlebk%2Cagp%2Cofm%2Cddu&amp;limiters=None&amp;q=The%20Conservative%20Challenge</t>
  </si>
  <si>
    <t>James Mark;Artemy M. Kalinovsky;Steffi Marung</t>
  </si>
  <si>
    <t>Alternative Globalizations : Eastern Europe and the Postcolonial World</t>
  </si>
  <si>
    <t>https://research.ebsco.com/c/fcl55w/search/details/3qclpvb6nj?db=e000xww%2Cnlebk%2Cagp%2Cofm%2Cddu&amp;limiters=None&amp;q=Alternative%20Globalization</t>
  </si>
  <si>
    <t>Sara Callahan</t>
  </si>
  <si>
    <t>Art + Archive : Understanding the Archival Turn in Contemporary Art</t>
  </si>
  <si>
    <t>https://research.ebsco.com/c/fcl55w/search/details/wlxh7joyzf?db=e000xww%2Cnlebk%2Cagp%2Cofm%2Cddu&amp;limiters=None&amp;q=Art%20%2B%20Archive</t>
  </si>
  <si>
    <t>Wietse de Boe</t>
  </si>
  <si>
    <t>Art in Dispute : Catholic Debates at the Time of Trent. With an Edition and Translation of Key Documents</t>
  </si>
  <si>
    <t>https://research.ebsco.com/c/fcl55w/search/details/l3otdsf6uz?db=e000xww%2Cnlebk%2Cagp%2Cofm%2Cddu&amp;limiters=None&amp;q=Art%20in%20Dispute</t>
  </si>
  <si>
    <t xml:space="preserve">2022
</t>
  </si>
  <si>
    <t>Chiara Cappelletto</t>
  </si>
  <si>
    <t>Embodying Art : How We See, Think, Feel, and Create</t>
  </si>
  <si>
    <t>https://research.ebsco.com/c/fcl55w/search/details/a7ywnn6web?db=e000xww%2Cnlebk%2Cagp%2Cofm%2Cddu&amp;limiters=None&amp;q=Embodying%20Art</t>
  </si>
  <si>
    <t>Megan Henvey;Amanda Doviak;Jane Hawkes</t>
  </si>
  <si>
    <t>Transmissions and Translations in Medieval Literary and Material Culture</t>
  </si>
  <si>
    <t>https://research.ebsco.com/c/fcl55w/search/details/jp7syz246f?db=e000xww%2Cnlebk%2Cagp%2Cofm%2Cddu&amp;limiters=None&amp;q=Transmissions%20and%20Translations</t>
  </si>
  <si>
    <t>Arthur C. Danto;Demetrio Paparoni</t>
  </si>
  <si>
    <t>Art and Posthistory : Conversations on the End of Aesthetics</t>
  </si>
  <si>
    <t>https://research.ebsco.com/c/fcl55w/search/details/om523u6olb?db=e000xww%2Cnlebk%2Cagp%2Cofm%2Cddu&amp;limiters=None&amp;q=Art%20and%20Posthistory</t>
  </si>
  <si>
    <t>Fil 959.902 C626i 2024</t>
  </si>
  <si>
    <t>Clemente, Janet Espina; Cruz Geoffrey Rhoel C.</t>
  </si>
  <si>
    <t>The Life and Works of Rizal: Outcome-Based Module Second Edition</t>
  </si>
  <si>
    <t>Fil 959.902 O12l 2024</t>
  </si>
  <si>
    <t>Obias, Rhodalyn Wani, Mallari</t>
  </si>
  <si>
    <t>The Life and works of Jose Rizal, Second Edition</t>
  </si>
  <si>
    <t>Jocelyn O. Padallan</t>
  </si>
  <si>
    <t>Information and Computer Ethics</t>
  </si>
  <si>
    <t>https://research.ebsco.com/c/fcl55w/search/details/lz2amgyu6b?db=e000xww%2Cnlebk%2Cagp%2Cofm%2Cddu&amp;limiters=DT1%3A2019-11-28%2F2024-11-28&amp;q=Information%20and%20Computer%20Ethics</t>
  </si>
  <si>
    <t>Anderson, William H. U.</t>
  </si>
  <si>
    <t>Technology and Theology</t>
  </si>
  <si>
    <t>https://research.ebsco.com/c/fcl55w/search/details/am37gnrlvz?db=e000xww%2Cnlebk%2Cagp%2Cofm%2Cddu&amp;limiters=DT1%3A2019-11-28%2F2024-11-28&amp;q=Technology%20and%20Theology%5C</t>
  </si>
  <si>
    <t>Shun-Ping Chen</t>
  </si>
  <si>
    <t>Fundamentals of Information and Communication Technologies</t>
  </si>
  <si>
    <t>https://research.ebsco.com/c/fcl55w/search/details/vnda7l4tof?db=e000xww%2Cnlebk%2Cagp%2Cofm%2Cddu&amp;limiters=DT1%3A2019-11-28%2F2024-11-28&amp;q=Fundamentals%20of%20Information</t>
  </si>
  <si>
    <t>Cir 631.523 A955a 2024</t>
  </si>
  <si>
    <t>Avery, Mark</t>
  </si>
  <si>
    <t>Agriculture Genetic Engineering for Crop Improvement</t>
  </si>
  <si>
    <t>Sankarsana Nanda</t>
  </si>
  <si>
    <t>Integrated Farming System Practices: Challenges and Opportunities</t>
  </si>
  <si>
    <t>https://research.ebsco.com/c/fcl55w/search/details/hlexuusij5?db=e000xww%2Cnlebk%2Cagp%2Cofm%2Cddu&amp;limiters=DT1%3A2019-12-03%2F2024-12-03&amp;q=Integrated%20Farming%20System%20Practices%3A%20Challenges%20and%20Opportunities</t>
  </si>
  <si>
    <t>Oluwatoyin Dare Kolawole</t>
  </si>
  <si>
    <t>Smallholder Farmers and Farming Practices: Challenges and Prospects</t>
  </si>
  <si>
    <t>https://research.ebsco.com/c/fcl55w/search/details/a6v6qso33b?db=e000xww%2Cnlebk%2Cagp%2Cofm%2Cddu&amp;limiters=DT1%3A2019-12-03%2F2024-12-03&amp;q=Smallholder%20Farmers%20and%20Farming%20Practices%3A%20Challenges%20and%20Prospects</t>
  </si>
  <si>
    <t>Roy, Darbeshwar</t>
  </si>
  <si>
    <t>Michelle D. Ravenscroft;Bee Hughes;Charlotte Dann;Paul G. Nixon</t>
  </si>
  <si>
    <t>Talking Bodies III: Transformations, Movements and Expressions</t>
  </si>
  <si>
    <t>https://research.ebsco.com/c/fcl55w/search/details/3vmv7gxyg5?db=e000xww%2Cnlebk%2Cagp%2Cofm%2Cddu&amp;limiters=None&amp;q=Talking%20Bodies</t>
  </si>
  <si>
    <t>Susan Lowell de Solórzano</t>
  </si>
  <si>
    <t>Everything Moves : How Biotensegrity Informs Human Movement</t>
  </si>
  <si>
    <t>https://research.ebsco.com/c/fcl55w/search/details/lmue2cih2v?db=e000xww%2Cnlebk%2Cagp%2Cofm%2Cddu&amp;limiters=None&amp;q=Everything%20Moves</t>
  </si>
  <si>
    <t>Marian Apostol</t>
  </si>
  <si>
    <t>Physical Kinetics</t>
  </si>
  <si>
    <t>https://research.ebsco.com/c/fcl55w/search/details/5b5dgw5stv?db=e000xww%2Cnlebk%2Cagp%2Cofm%2Cddu&amp;limiters=None&amp;q=Physical%20Kinetics</t>
  </si>
  <si>
    <t>Hairul Anuar Hashim</t>
  </si>
  <si>
    <t>Application of Psychometrics in Sports and Exercise</t>
  </si>
  <si>
    <t>https://research.ebsco.com/c/fcl55w/search/details/vr3a7gkmln?db=e000xww%2Cnlebk%2Cagp%2Cofm%2Cddu&amp;limiters=None&amp;q=Applications%20of%20Psychometrics</t>
  </si>
  <si>
    <t>SECOND YEAR: 1st SEMESTER</t>
  </si>
  <si>
    <t>Cir 635 P499t 2024</t>
  </si>
  <si>
    <t>Patterson, R, I.</t>
  </si>
  <si>
    <t>Tissue Culture Techniques inHorticultural Crops</t>
  </si>
  <si>
    <t>Cir 632.96 B879m 2024</t>
  </si>
  <si>
    <t>Bown, Susan</t>
  </si>
  <si>
    <t>Management of Pest and Soil in Horticultural Crops</t>
  </si>
  <si>
    <t>Cir 541.28 L183q 2022</t>
  </si>
  <si>
    <t>Lahiri, Jyotirnay; Anderson, Ralph</t>
  </si>
  <si>
    <t>Quantum Chemistry</t>
  </si>
  <si>
    <t>Singh, MP</t>
  </si>
  <si>
    <t>Plant Biodiversity and Taxonomy</t>
  </si>
  <si>
    <t>https://research.ebsco.com/c/fcl55w/search/details/u6af6hukjj?db=e000xww%2Cnlebk%2Cagp%2Cofm%2Cddu&amp;limiters=None&amp;q=Plant%20Biodiversity%20and%20Taxonomy</t>
  </si>
  <si>
    <t>R.T.J. Cappers;R.M. Bekker</t>
  </si>
  <si>
    <t>A Manual for the Identification of Plant Seeds and Fruits : Second Revised Edition</t>
  </si>
  <si>
    <t>https://research.ebsco.com/c/fcl55w/search/details/uoypyvdtm5?db=e000xww%2Cnlebk%2Cagp%2Cofm%2Cddu&amp;limiters=DT1%3A2019-12-03%2F2024-12-03&amp;q=A%20Manual%20for%20the%20Identification%20of%20Plant%20Seeds%20and%20Fruits%20%3A%20Second%20Revised%20Edition</t>
  </si>
  <si>
    <t>Cir 650 N632u 2024</t>
  </si>
  <si>
    <t>Nickels, William G; Mchugh, James M; Mchugh, Susan M</t>
  </si>
  <si>
    <t>Understanding Business: The Core</t>
  </si>
  <si>
    <t>Derek Lidow</t>
  </si>
  <si>
    <t>The Entrepreneurs: The Relentless Quest for Value</t>
  </si>
  <si>
    <t>https://research.ebsco.com/c/fcl55w/search/details/itkzy5fo3r?db=e000xww%2Cnlebk%2Cagp%2Cofm%2Cddu&amp;limiters=None&amp;q=The%20Entrepreneurs%3A%20The%20Relentless%20Quest%20for%20Value</t>
  </si>
  <si>
    <t>Sonia Sethi Kohli, Adrienne Wallace</t>
  </si>
  <si>
    <t>The SLP Entrepreneur: The Speech-Language Pathologist’s Guide to Private Practice and Other Business Ventures</t>
  </si>
  <si>
    <t>https://research.ebsco.com/c/fcl55w/search/details/yaytmgn5bb?db=e000xww%2Cnlebk%2Cagp%2Cofm%2Cddu&amp;limiters=None&amp;q=The%20SLP%20Entrepreneur%3A%20The%20Speech-Language%20Pathologist%E2%80%99s%20Guide%20to%20Private%20Practice%20and%20Other%20Business%20Ventures</t>
  </si>
  <si>
    <t>Cir 547 S651o 2024</t>
  </si>
  <si>
    <t>Smith, Janice Gorzynski</t>
  </si>
  <si>
    <t>Organic Chemistry, Seventh Edition</t>
  </si>
  <si>
    <t>Lexetin</t>
  </si>
  <si>
    <t>Plants and Society</t>
  </si>
  <si>
    <t>Hickman Jr.</t>
  </si>
  <si>
    <t>Integrated Principles of Zoology</t>
  </si>
  <si>
    <t>Wakefield</t>
  </si>
  <si>
    <t>Textbook of Agriculture Biotechnology</t>
  </si>
  <si>
    <t>Borell</t>
  </si>
  <si>
    <t>Physiology</t>
  </si>
  <si>
    <t xml:space="preserve">3G E-Learning </t>
  </si>
  <si>
    <t>Friedland</t>
  </si>
  <si>
    <t>Stewart</t>
  </si>
  <si>
    <t>Reproduction Farm Animal</t>
  </si>
  <si>
    <t>Kamal M, Dawood;Ashraf A, Abbas</t>
  </si>
  <si>
    <t>Chemistry of Bipyrazoles: Synthesis and Applications</t>
  </si>
  <si>
    <t>https://research.ebsco.com/c/fcl55w/search/details/uihz6jg4df?db=e000xww%2Cnlebk%2Cagp%2Cofm%2Cddu&amp;limiters=None&amp;q=Chemistry%20of%20Bipyrazoles</t>
  </si>
  <si>
    <t>Sethi, Bhavana</t>
  </si>
  <si>
    <t>Concise and Simplified Chemistry</t>
  </si>
  <si>
    <t>https://research.ebsco.com/c/fcl55w/search/details/s5zxsgbbdn?db=e000xww%2Cnlebk%2Cagp%2Cofm%2Cddu&amp;limiters=None&amp;q=Concise%20and%20Simplified</t>
  </si>
  <si>
    <t>Raj K. Bansal</t>
  </si>
  <si>
    <t>Heterocyclic Chemistry</t>
  </si>
  <si>
    <t>https://research.ebsco.com/c/fcl55w/search/details/4glksasvov?db=e000xww%2Cnlebk%2Cagp%2Cofm%2Cddu&amp;limiters=None&amp;q=heterocyclic%20chemistry</t>
  </si>
  <si>
    <t>George R. Carey</t>
  </si>
  <si>
    <t>Biofuels: Advances in Research and Applications</t>
  </si>
  <si>
    <t>https://research.ebsco.com/c/fcl55w/search/details/3xh4xjmjub?db=e000xww%2Cnlebk%2Cagp%2Cofm%2Cddu&amp;limiters=None&amp;q=biofuels</t>
  </si>
  <si>
    <t xml:space="preserve">Schoenau </t>
  </si>
  <si>
    <t>Role of Soil Fertility, Renewal and Preservation in Biodynamic Agriculture</t>
  </si>
  <si>
    <t>for Processing</t>
  </si>
  <si>
    <t>Hug</t>
  </si>
  <si>
    <t>Plant Anatomy and Characteristics of Soil Water and Fertilizer</t>
  </si>
  <si>
    <t>Quilty</t>
  </si>
  <si>
    <t>Aspects of Soil and Plant Interactions</t>
  </si>
  <si>
    <t>Tapan Adhikari
 S.Kundu
 A.Subba Rao</t>
  </si>
  <si>
    <t>https://research.ebsco.com/c/fcl55w/search/details/c75dulf2vv?db=e000xww%2Cnlebk%2Cagp%2Cofm%2Cddu&amp;limiters=None&amp;q=Nanotechnology%20in%20Soil%20Science%20and%20Plant%20Nutrition</t>
  </si>
  <si>
    <t>Julia Krümmelbein;Rainer Horn;Marcello Pagliai</t>
  </si>
  <si>
    <t>Soil Degradation</t>
  </si>
  <si>
    <t>https://research.ebsco.com/c/fcl55w/search/details/mt2ohbrivn?db=e000xww%2Cnlebk%2Cagp%2Cofm%2Cddu&amp;limiters=DT1%3A2019-12-03%2F2024-12-03&amp;q=Soil%20Degradation</t>
  </si>
  <si>
    <t>Hertz, Martin</t>
  </si>
  <si>
    <t>Burroughs</t>
  </si>
  <si>
    <t>Application of Space Technology in Remote Sensing and GIS</t>
  </si>
  <si>
    <t>Klein</t>
  </si>
  <si>
    <t>GIS and Sensing Analysis for Cropping Systems</t>
  </si>
  <si>
    <t>Darren Price;Jennifer Laffan;Scott McKinnon</t>
  </si>
  <si>
    <t>AgTech: an Introduction</t>
  </si>
  <si>
    <t>https://research.ebsco.com/c/fcl55w/search/details/qsdxmrzfkf?db=e000xww%2Cnlebk%2Cagp%2Cofm%2Cddu&amp;limiters=DT1%3A2019-12-03%2F2024-12-03&amp;q=AgTech%3A%20an%20Introduction</t>
  </si>
  <si>
    <t xml:space="preserve">Saez De Adana, Francisco
Tayebi Tayebi, Abdelhamid
Ballesteros, Juan Casado
Gomez Perez, Josefa
</t>
  </si>
  <si>
    <t>Applications of Geographic Information Systems for Wireless Network Planning</t>
  </si>
  <si>
    <t>https://research.ebsco.com/c/fcl55w/search/details/ocsuwuoggr?db=e000xww%2Cnlebk%2Cagp%2Cofm%2Cddu&amp;limiters=None&amp;q=Applications%20of%20Geographic%20Information%20Systems%20for%20Wireless%20Network%20Planning</t>
  </si>
  <si>
    <t>Tripp Corbin</t>
  </si>
  <si>
    <t>Learning ArcGIS Pro 2 : A Beginner's Guide to Creating 2D and 3D Maps and Editing Geospatial Data with ArcGIS Pro, 2nd Edition</t>
  </si>
  <si>
    <t>https://research.ebsco.com/c/fcl55w/search/details/dtfqh56dij?db=e000xww%2Cnlebk%2Cagp%2Cofm%2Cddu&amp;limiters=None&amp;q=Learning%20ArcGIS%20Pro%202%20%3A%20A%20Beginner%27s%20Guide%20to%20Creating%202D%20and%203D%20Maps%20and%20Editing%20Geospatial%20Data%20with%20ArcGIS%20Pro%2C%202nd%20Edition</t>
  </si>
  <si>
    <t>https://research.ebsco.com/c/fcl55w/search/details/53l7by4ldz?db=e000xww%2Cnlebk%2Cagp%2Cofm%2Cddu&amp;limiters=DT1%3A2019-12-03%2F2024-12-03&amp;q=emerging%20technologies%20in%20Agriculture</t>
  </si>
  <si>
    <t>Stephen J. Rose</t>
  </si>
  <si>
    <t>Social Stratification in the United States : The American Profile Poster of Who Owns What, Who Makes How Much, and Who Works Where</t>
  </si>
  <si>
    <t>https://research.ebsco.com/c/fcl55w/search/details/i2mfc6riez?db=e000xww%2Cnlebk%2Cagp%2Cofm%2Cddu&amp;limiters=DT1%3A2019-12-03%2F2024-12-03&amp;q=Social%20Stratification%20in%20the%20United%20States%20%3A%20The%20American%20Profile%20Poster%20of%20Who%20Owns%20What%2C%20Who%20Makes%20How%20Much%2C%20and%20Who%20Works%20Where</t>
  </si>
  <si>
    <t>Cir 519.5 B658e 2023</t>
  </si>
  <si>
    <t>Bluman, Allan G</t>
  </si>
  <si>
    <t>Elementary Statistics: A step by Step Approach, Eleventh Edition</t>
  </si>
  <si>
    <t>Christopher Maule</t>
  </si>
  <si>
    <t>A Future for Economics : More Encompassing, More Institutional, More Practical</t>
  </si>
  <si>
    <t>https://research.ebsco.com/c/fcl55w/search/details/2arwjftqpz?db=e000xww%2Cnlebk%2Cagp%2Cofm%2Cddu&amp;limiters=DT1%3A2019-12-03%2F2024-12-03&amp;q=A%20Future%20of%20Economics</t>
  </si>
  <si>
    <t>Lucy Ambler;Joe Earle;Nicola Scott</t>
  </si>
  <si>
    <t>Reclaiming Economics for Future Generations</t>
  </si>
  <si>
    <t>https://research.ebsco.com/c/fcl55w/search/details/fxkwvjlcmj?db=e000xww%2Cnlebk%2Cagp%2Cofm%2Cddu&amp;limiters=DT1%3A2019-12-03%2F2024-12-03&amp;q=Reclaiming%20Economics</t>
  </si>
  <si>
    <t>Park, Mi Sun;Baral, Himlal;Shin, Seongmin</t>
  </si>
  <si>
    <t>Systematic Approach to Agroforestry Policies and Practices in Asia.</t>
  </si>
  <si>
    <t>https://research.ebsco.com/c/fcl55w/search/details/opq7in4rjf?db=e000xww%2Cnlebk%2Cagp%2Cofm%2Cddu&amp;limiters=DT1%3A2019-12-03%2F2024-12-03&amp;q=Systematic%20Approach%20to%20Agroforestry%20Policies%20and%20Practices%20in%20Asia</t>
  </si>
  <si>
    <t>https://research.ebsco.com/c/fcl55w/search/details/msfa5seu4f?db=e000xww%2Cnlebk%2Cagp%2Cofm%2Cddu&amp;limiters=DT1%3A2019-12-03%2F2024-12-03&amp;q=Sustainable%20Natural%20Resource%20Management%20in%20the%20Himalayan%20Region%3A%20Livelihood%20and%20Climate%20Change</t>
  </si>
  <si>
    <t>Vierah Hulley</t>
  </si>
  <si>
    <t>Environmental Laws</t>
  </si>
  <si>
    <t>https://research.ebsco.com/c/fcl55w/search/details/fbf5l36xdn?db=e000xww%2Cnlebk%2Cagp%2Cofm%2Cddu&amp;limiters=DT1%3A2019-12-03%2F2024-12-03&amp;q=Environmental%20Laws</t>
  </si>
  <si>
    <t>PATHFIT 4: SPORTS</t>
  </si>
  <si>
    <t>Gerald R. Gems</t>
  </si>
  <si>
    <t>Sports and Aging : A Prescription for Longevity</t>
  </si>
  <si>
    <t>https://research.ebsco.com/c/fcl55w/search/details/2hoysimnuz?db=e000xww%2Cnlebk%2Cagp%2Cofm%2Cddu&amp;limiters=None&amp;q=Sports%20and%20Aging</t>
  </si>
  <si>
    <t>Richard K. Miller;Kelli Washington</t>
  </si>
  <si>
    <t>Sports: Impact of the Pandemic</t>
  </si>
  <si>
    <t>https://research.ebsco.com/c/fcl55w/search/details/wachzuphhv?db=e000xww%2Cnlebk%2Cagp%2Cofm%2Cddu&amp;limiters=None&amp;q=Sports%20impact%20of%20the%20pandemic</t>
  </si>
  <si>
    <t>Mike Schwartz</t>
  </si>
  <si>
    <t>https://research.ebsco.com/c/fcl55w/search/details/ypkfrm6chz?db=e000xww%2Cnlebk%2Cagp%2Cofm%2Cddu&amp;limiters=DT1%3A2014-11-27%2F2024-11-27&amp;q=Essential%20Topics%20in%20Tennis%20and%20Volleyball</t>
  </si>
  <si>
    <t>Cir 632.9 B878g 2024</t>
  </si>
  <si>
    <t>Brown, Kevin</t>
  </si>
  <si>
    <t>Genetic Resistance of Plant Diseases</t>
  </si>
  <si>
    <t>Cir 632.9 J52d 2024</t>
  </si>
  <si>
    <t>Jenkins, Dylan</t>
  </si>
  <si>
    <t>DIseases and Management of Field Crops</t>
  </si>
  <si>
    <t>Wallace, Nathan</t>
  </si>
  <si>
    <t>Textbook Integrated Forest Pest Management</t>
  </si>
  <si>
    <t>Kunde</t>
  </si>
  <si>
    <t>Integrated Pest Management: A Novel Approach for Forest Pest Management</t>
  </si>
  <si>
    <t xml:space="preserve"> John Cardina</t>
  </si>
  <si>
    <t>Lives of Weeds : Opportunism, Resistance, Folly</t>
  </si>
  <si>
    <t>https://research.ebsco.com/c/fcl55w/search/details/ekycl7hb4z?db=e000xww%2Cnlebk%2Cagp%2Cofm%2Cddu&amp;limiters=DT1%3A2019-12-03%2F2024-12-03&amp;q=Lives%20of%20Weeds%20%3A%20Opportunism%2C%20Resistance%2C%20Folly</t>
  </si>
  <si>
    <t>Urvashi Swami</t>
  </si>
  <si>
    <t>Soilborne Pathogens</t>
  </si>
  <si>
    <t>https://research.ebsco.com/c/fcl55w/search/details/usu23o7umv?db=e000xww%2Cnlebk%2Cagp%2Cofm%2Cddu&amp;limiters=DT1%3A2019-12-03%2F2024-12-03&amp;q=%09Soilborne%20Pathogens</t>
  </si>
  <si>
    <t>Cir 333.72 W227t 2024</t>
  </si>
  <si>
    <t>Walsh, Eddie</t>
  </si>
  <si>
    <t>Textbook of Ecology and Environmental Pollution</t>
  </si>
  <si>
    <t>2024-27997</t>
  </si>
  <si>
    <t>Cir 577.3 K19f 2023</t>
  </si>
  <si>
    <t>Kashian, Daniel M.</t>
  </si>
  <si>
    <t>Forest Ecology, Fifth edition</t>
  </si>
  <si>
    <t>Miller &amp; Spoolman</t>
  </si>
  <si>
    <t>Living in the Environment</t>
  </si>
  <si>
    <t>Pullaiah, T</t>
  </si>
  <si>
    <t>Principles and Methods in Plant Biology</t>
  </si>
  <si>
    <t>https://research.ebsco.com/c/fcl55w/search/details/ze5yc7dfs5?db=e000xww%2Cnlebk%2Cagp%2Cofm%2Cddu&amp;limiters=DT1%3A2019-12-03%2F2024-12-03&amp;q=Principles%20and%20Methods%20in%20Plant%20Biology</t>
  </si>
  <si>
    <t>Robert W. Simons</t>
  </si>
  <si>
    <t>The Ecology of the Trees, Shrubs, and Woody Vines of Northern Florida</t>
  </si>
  <si>
    <t>https://research.ebsco.com/c/fcl55w/search/details/vphjowsjjf?db=e000xww%2Cnlebk%2Cagp%2Cofm%2Cddu&amp;limiters=DT1%3A2019-12-03%2F2024-12-03&amp;q=The%20Ecology%20of%20the%20Trees%2C%20Shrubs%2C%20and%20Woody%20Vines%20of%20Northern%20Florida</t>
  </si>
  <si>
    <t>Cir 658.409 M627d 2024</t>
  </si>
  <si>
    <t>MiddleBrooks, Anthony</t>
  </si>
  <si>
    <t>Discovering Leadership: Designing Your Success, Second Edition</t>
  </si>
  <si>
    <t>Meredith Minkler;Patricia Wakimoto</t>
  </si>
  <si>
    <t>Community Organizing and Community Building for Health and Social Equity, 4th Edition</t>
  </si>
  <si>
    <t>https://research.ebsco.com/c/fcl55w/search/details/yif5twbypj?db=e000xww%2Cnlebk%2Cagp%2Cofm%2Cddu&amp;limiters=DT1%3A2019-12-03%2F2024-12-03&amp;q=Community%20Organizing%20and%20Community%20Building%20for%20Health%20and%20Social%20Equity%2C%204th%20Edition</t>
  </si>
  <si>
    <t>Iris Belle;Hans Gebhardt</t>
  </si>
  <si>
    <t>From Economic Zone to Eco-city? : Urban Governance and Urban Development Trends in Tianjin' S Coastal Area</t>
  </si>
  <si>
    <t>https://research.ebsco.com/c/fcl55w/search/details/ynp4nbrivb?db=e000xww%2Cnlebk%2Cagp%2Cofm%2Cddu&amp;limiters=DT1%3A2019-12-03%2F2024-12-03&amp;q=Urban%20Governance%20and%20Urban%20Development%20Trends%20in%20Tianjin%27%20S%20Coastal%20Area</t>
  </si>
  <si>
    <t>Fil 581.995 C745f 2022</t>
  </si>
  <si>
    <t>Conda, JM</t>
  </si>
  <si>
    <t>Forest Vines in Selected Bicol Provinces</t>
  </si>
  <si>
    <t xml:space="preserve">2023-27985
2023-27986
2023-27987
2023-27988
</t>
  </si>
  <si>
    <t>Cir 630.7 B628r 2024</t>
  </si>
  <si>
    <t>Blackburn, Alfred</t>
  </si>
  <si>
    <t>Research on Global Agricultural Productivity Growth</t>
  </si>
  <si>
    <t>2024-28048</t>
  </si>
  <si>
    <t>Fil 001.4 R432 2022</t>
  </si>
  <si>
    <t>Gutierrez, Jaime A.</t>
  </si>
  <si>
    <t>Research 101 Notes and Style Guide in Thesis and Dissertation Writing for the Filipino Students</t>
  </si>
  <si>
    <t xml:space="preserve">2022-27800
2022-27801
2022-27802
2022-27803
2022-27804
</t>
  </si>
  <si>
    <t>Neeru Sharma</t>
  </si>
  <si>
    <t>Information Systems for Management</t>
  </si>
  <si>
    <t>https://research.ebsco.com/c/fcl55w/search/details/suic7l4ktz?db=e000xww%2Cnlebk%2Cagp%2Cofm%2Cddu&amp;limiters=DT1%3A2019-12-03%2F2024-12-03&amp;q=Information%20Systems%20for%20Management</t>
  </si>
  <si>
    <t>Jeroen Huisman;Malcolm Tight</t>
  </si>
  <si>
    <t>Theory and Method in Higher Education Research</t>
  </si>
  <si>
    <t>https://research.ebsco.com/c/fcl55w/search/details/wtcql6rrgn?db=e000xww%2Cnlebk%2Cagp%2Cofm%2Cddu&amp;limiters=DT1%3A2019-12-03%2F2024-12-03&amp;q=Theory%20and%20Method%20in%20Higher%20Education%20Research</t>
  </si>
  <si>
    <t>John C.H. Mitchell;David B. Lindenmayer;Bruce J. Chapman</t>
  </si>
  <si>
    <t>Sustainable Farm Finance : A Practical Guide for Broadacre Graziers</t>
  </si>
  <si>
    <t>https://research.ebsco.com/c/fcl55w/search/details/zyariwiu5b?db=e000xww%2Cnlebk%2Cagp%2Cofm%2Cddu&amp;limiters=DT1%3A2019-12-03%2F2024-12-03&amp;q=Sustainable%20Farm%20Finance%20%3A%20A%20Practical%20Guide%20for%20Broadacre%20Graziers</t>
  </si>
  <si>
    <t>Hasan, Wajid</t>
  </si>
  <si>
    <t>Extension Strategies for Doubling Farmer Income</t>
  </si>
  <si>
    <t>https://research.ebsco.com/c/fcl55w/search/details/kp3uj3chib?db=e000xww%2Cnlebk%2Cagp%2Cofm%2Cddu&amp;limiters=DT1%3A2019-12-03%2F2024-12-03&amp;q=Extension%20Strategies%20for%20Doubling%20Farmer%20Income</t>
  </si>
  <si>
    <t>Lokesh K. Meena;Shoji Lal Bairwa;M. Rahaman;Meera Kumari</t>
  </si>
  <si>
    <t>Agricultural Economics</t>
  </si>
  <si>
    <t>https://research.ebsco.com/c/fcl55w/search/details/naqxlub2dr?db=e000xww%2Cnlebk%2Cagp%2Cofm%2Cddu&amp;limiters=DT1%3A2019-12-03%2F2024-12-03&amp;q=%09Agricultural%20Economics</t>
  </si>
  <si>
    <t>Shailendra Nath Thakur</t>
  </si>
  <si>
    <t>Economics,Marketing and Sales of Agricultural Products</t>
  </si>
  <si>
    <t>https://research.ebsco.com/c/fcl55w/search/details/qoseu4hntv?db=e000xww%2Cnlebk%2Cagp%2Cofm%2Cddu&amp;limiters=DT1%3A2019-12-03%2F2024-12-03&amp;q=Economics%2CMarketing%20and%20Sales%20of%20Agricultural%20Products</t>
  </si>
  <si>
    <t>GEC12:ENVIRONMENTAL SCIENCE</t>
  </si>
  <si>
    <t>Cir 363.7 C973p 2023</t>
  </si>
  <si>
    <t>Cunningham William P.; Cunningham Mary Ann; O'Reilly, Catherine M</t>
  </si>
  <si>
    <t>Principles of Environment at Science: Inquiry &amp; Applications, Tenth edition</t>
  </si>
  <si>
    <t>Cir 363.7 F911e 2023</t>
  </si>
  <si>
    <t>Friedland, Andrew; Relyea, Rick</t>
  </si>
  <si>
    <t>Environmental Science for the AP Course, 4th Edition</t>
  </si>
  <si>
    <t>Cir 363.7 S764e 2023</t>
  </si>
  <si>
    <t>Spooner, Alecia</t>
  </si>
  <si>
    <t>Environmental Science for Dummies, 2nd Edition</t>
  </si>
  <si>
    <t>Cir 363.7 M468f 2022</t>
  </si>
  <si>
    <t>Mayer, Courtney</t>
  </si>
  <si>
    <t>5 Steps to A5Tm AP Environmental Science 2023</t>
  </si>
  <si>
    <t>https://research.ebsco.com/c/fcl55w/search/details/esuaq3ypyf?db=e000xww%2Cnlebk%2Cagp%2Cofm%2Cddu&amp;limiters=None&amp;q=The%20Life%20of%20Plants%20in%20a%20Changing%20Environment</t>
  </si>
  <si>
    <t>Sanjeevi, Shiv</t>
  </si>
  <si>
    <t>https://research.ebsco.com/c/fcl55w/search/details/242qunny35?db=e000xww%2Cnlebk%2Cagp%2Cofm%2Cddu&amp;limiters=DT1%3A2014-11-27%2F2024-11-27&amp;q=Cloning%20in%20Plants%20%3A%20New%20Developments</t>
  </si>
  <si>
    <t>B. L. Turner II</t>
  </si>
  <si>
    <t>The Anthropocene : 101 Questions and Answers for Understanding the Human Impact on the Global Environment</t>
  </si>
  <si>
    <t>https://research.ebsco.com/c/fcl55w/search/details/uo6374jv2f?db=e000xww%2Cnlebk%2Cagp%2Cofm%2Cddu&amp;limiters=None&amp;q=The%20Anthropocene</t>
  </si>
  <si>
    <t>Ma. Regina M. Hechanova;Lynn C. Waelde</t>
  </si>
  <si>
    <t>Resistance, Resilience, and Recovery From Disasters : Perspectives From Southeast Asia</t>
  </si>
  <si>
    <t>https://research.ebsco.com/c/fcl55w/search/details/djfzmswre5?db=e000xww%2Cnlebk%2Cagp%2Cofm%2Cddu&amp;limiters=None&amp;q=Resistance%2C%20Resilience</t>
  </si>
  <si>
    <t>Mishra, P K;J K Verma</t>
  </si>
  <si>
    <t>Managing Sustainable Development: Concepts Issues and Challenges</t>
  </si>
  <si>
    <t>https://research.ebsco.com/c/fcl55w/search/details/fnaageid6v?db=e000xww%2Cnlebk%2Cagp%2Cofm%2Cddu&amp;limiters=None&amp;q=Managing%20Sustainable%20</t>
  </si>
  <si>
    <t>FAO</t>
  </si>
  <si>
    <t>Disaster Risk Reduction Challenge Badge</t>
  </si>
  <si>
    <t>https://research.ebsco.com/c/fcl55w/search/details/nebdeaxgyb?db=e000xww%2Cnlebk%2Cagp%2Cofm%2Cddu&amp;limiters=None&amp;q=Disaster%20RIsk%20Reduction%20Challenge</t>
  </si>
  <si>
    <t>FOURTH YEAR - 1ST SEMESTER</t>
  </si>
  <si>
    <t>Arjun Kumar A. Rathi</t>
  </si>
  <si>
    <t>Handbook of Environmental Impact Assessment: Concepts and Practice</t>
  </si>
  <si>
    <t>https://research.ebsco.com/c/fcl55w/search/details/eihlghxcr5?db=e000xww%2Cnlebk%2Cagp%2Cofm%2Cddu&amp;limiters=DT1%3A2019-12-03%2F2024-12-03&amp;q=Handbook%20of%20Environmental%20Impact%20Assessment%3A%20Concepts%20and%20Practice</t>
  </si>
  <si>
    <t>Judith Rosales</t>
  </si>
  <si>
    <t>Environmental Impact Assessment</t>
  </si>
  <si>
    <t>https://research.ebsco.com/c/fcl55w/search/details/gpwbarqaa5?db=e000xww%2Cnlebk%2Cagp%2Cofm%2Cddu&amp;limiters=DT1%3A2019-12-03%2F2024-12-03&amp;q=Environmental%20Impact%20Assessment</t>
  </si>
  <si>
    <t>https://research.ebsco.com/c/fcl55w/search/details/dotphgien5?db=e000xww%2Cnlebk%2Cagp%2Cofm%2Cddu&amp;limiters=DT1%3A2014-11-27%2F2024-11-27&amp;q=Agriculture%20and%20Industrial%20</t>
  </si>
  <si>
    <t>Bishaw, Badege;Soolanayakanahally, Raju;Karki, Uma;Hagan, Erik</t>
  </si>
  <si>
    <t>Agroforestry for sustainable production and resilient landscapes</t>
  </si>
  <si>
    <t>https://research.ebsco.com/c/fcl55w/search/details/i6ebhhgkkn?db=e000xww%2Cnlebk%2Cagp%2Cofm%2Cddu&amp;limiters=DT1%3A2019-12-03%2F2024-12-03&amp;q=Agroforestry%20for%20Sustainable%20Production%20and%20Resilient%20Landscapes</t>
  </si>
  <si>
    <t>Riekötter, Nicklas;Hassler, Markus</t>
  </si>
  <si>
    <t>Agroforestry Systems in Wine Production-Mitigating Climate Change in the Mosel Region</t>
  </si>
  <si>
    <t>https://research.ebsco.com/c/fcl55w/search/details/foo2ieiwh5?db=e000xww%2Cnlebk%2Cagp%2Cofm%2Cddu&amp;limiters=DT1%3A2019-12-03%2F2024-12-03&amp;q=Agroforestry%20Systems%20in%20Wine%20Production-Mitigating%20Climate%20Change%20in%20the%20Mosel%20Region</t>
  </si>
  <si>
    <t>Jörn Redler</t>
  </si>
  <si>
    <t>Marketing : Principles of Customer-Centric Business Management</t>
  </si>
  <si>
    <t>https://research.ebsco.com/c/fcl55w/search/details/xhkpqkvnhr?db=e000xww%2Cnlebk%2Cagp%2Cofm%2Cddu&amp;limiters=DT1%3A2019-12-03%2F2024-12-03&amp;q=Marketing%20%3A%20Principles%20of%20Customer-Centric%20Business%20Management</t>
  </si>
  <si>
    <t>https://research.ebsco.com/c/fcl55w/search/details/zyariwiu5b?db=e000xww%2Cnlebk%2Cagp%2Cofm%2Cddu&amp;limiters=DT1%3A2019-12-03%2F2024-12-03&amp;q=%20Sustainable%20Farm%20Finance%20%3A%20A%20Practical%20Guide%20for%20Broadacre%20Graziers</t>
  </si>
  <si>
    <t>B. Poongodi</t>
  </si>
  <si>
    <t>Management Skills for Successful Agri Entrepreneurs</t>
  </si>
  <si>
    <t>https://research.ebsco.com/c/fcl55w/search/details/3jiuu7qaij?db=e000xww%2Cnlebk%2Cagp%2Cofm%2Cddu&amp;limiters=DT1%3A2019-12-03%2F2024-12-03&amp;q=Management%20Skills%20for%20Successful%20Agri%20Entrepreneurs%20</t>
  </si>
  <si>
    <t>Cir 574 M876b 2023</t>
  </si>
  <si>
    <t>Morris, James</t>
  </si>
  <si>
    <t>Biology: How Life Works</t>
  </si>
  <si>
    <t>Jayanta Kumar Mallick</t>
  </si>
  <si>
    <t>Ethics of Biodiversity Conservation: An Ecological Study</t>
  </si>
  <si>
    <t>https://research.ebsco.com/c/fcl55w/search/details/sbknedispb?db=e000xww%2Cnlebk%2Cagp%2Cofm%2Cddu&amp;limiters=DT1%3A2019-12-03%2F2024-12-03&amp;q=Ethics%20of%20Biodiversity%20Conservation%3A%20An%20Ecological%20Study</t>
  </si>
  <si>
    <t>Living In the IT Era</t>
  </si>
  <si>
    <t>Introduction to Animal Science</t>
  </si>
  <si>
    <t xml:space="preserve">                      Republic of the Philippines
                      CENTRAL BICOL STATE UNIVERSITY OF AGRICULTURE
                      Impig, Sipocot, Camarines Sur 4408
                      Website: www.cbsua.edu.ph
                      Email Address: cbsua.sipocot@cbsua.edu.ph
                      Trunkline: (054) 881-6681</t>
  </si>
  <si>
    <t>Ireneo M. Delos Santos Jr</t>
  </si>
  <si>
    <t>Administrative Aide III</t>
  </si>
  <si>
    <t>Dolores C. Perez</t>
  </si>
  <si>
    <t>Campus Librarian</t>
  </si>
  <si>
    <t>Program Name</t>
  </si>
  <si>
    <t>_______________________________</t>
  </si>
  <si>
    <t>Head/Position</t>
  </si>
  <si>
    <t>___________________________________________________</t>
  </si>
  <si>
    <t>Position</t>
  </si>
  <si>
    <t>Program</t>
  </si>
  <si>
    <t>Cir 303.483
T531s 2020</t>
  </si>
  <si>
    <t>Cir 303.483
G891t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</si>
</sst>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0">
    <font>
      <sz val="11"/>
      <color theme="1"/>
      <name val="Calibri"/>
      <charset val="134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3"/>
      <color theme="1"/>
      <name val="Arial"/>
      <family val="2"/>
    </font>
    <font>
      <sz val="12"/>
      <color rgb="FF000000"/>
      <name val="Arial"/>
      <family val="2"/>
    </font>
    <font>
      <u/>
      <sz val="12"/>
      <color theme="10"/>
      <name val="Arial"/>
      <family val="2"/>
    </font>
    <font>
      <sz val="12"/>
      <name val="Arial"/>
      <family val="2"/>
    </font>
    <font>
      <u/>
      <sz val="11"/>
      <color theme="10"/>
      <name val="Calibri"/>
      <family val="2"/>
      <scheme val="minor"/>
    </font>
    <font>
      <sz val="12"/>
      <color rgb="FF000000"/>
      <name val="Noto Sans"/>
      <family val="2"/>
    </font>
    <font>
      <sz val="12"/>
      <color rgb="FF55585D"/>
      <name val="Arial"/>
      <family val="2"/>
    </font>
    <font>
      <u/>
      <sz val="12"/>
      <color theme="10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u/>
      <sz val="12"/>
      <color rgb="FF800080"/>
      <name val="Calibri"/>
      <family val="2"/>
      <scheme val="minor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563C1"/>
      <name val="Calibri"/>
      <family val="2"/>
    </font>
    <font>
      <u/>
      <sz val="12"/>
      <color rgb="FF0563C1"/>
      <name val="Calibri"/>
      <family val="2"/>
    </font>
    <font>
      <sz val="13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4"/>
      <color theme="1"/>
      <name val="Arial"/>
      <family val="2"/>
    </font>
    <font>
      <u/>
      <sz val="11"/>
      <color rgb="FF800080"/>
      <name val="Calibri"/>
      <family val="2"/>
      <scheme val="minor"/>
    </font>
    <font>
      <b/>
      <sz val="16"/>
      <color theme="1"/>
      <name val="Arial"/>
      <family val="2"/>
    </font>
    <font>
      <sz val="9"/>
      <color theme="1"/>
      <name val="Arial"/>
      <family val="2"/>
    </font>
    <font>
      <sz val="12"/>
      <color rgb="FF333333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sz val="12"/>
      <color rgb="FF595959"/>
      <name val="Arial"/>
      <family val="2"/>
    </font>
    <font>
      <sz val="11"/>
      <color rgb="FF9C6500"/>
      <name val="Calibri"/>
      <family val="2"/>
      <scheme val="minor"/>
    </font>
    <font>
      <i/>
      <u/>
      <sz val="14"/>
      <color theme="4"/>
      <name val="Arial"/>
      <family val="2"/>
    </font>
    <font>
      <i/>
      <u/>
      <sz val="13"/>
      <color theme="4"/>
      <name val="Arial"/>
      <family val="2"/>
    </font>
    <font>
      <b/>
      <sz val="12"/>
      <name val="Arial"/>
      <family val="2"/>
    </font>
    <font>
      <sz val="12"/>
      <color rgb="FF9C6500"/>
      <name val="Calibri"/>
      <family val="2"/>
      <scheme val="minor"/>
    </font>
    <font>
      <b/>
      <sz val="14"/>
      <color rgb="FFFF0000"/>
      <name val="Arial"/>
      <family val="2"/>
    </font>
    <font>
      <sz val="14"/>
      <color rgb="FFFF0000"/>
      <name val="Arial"/>
      <family val="2"/>
    </font>
    <font>
      <b/>
      <sz val="16"/>
      <color rgb="FFFF0000"/>
      <name val="Arial"/>
      <family val="2"/>
    </font>
    <font>
      <sz val="12"/>
      <color rgb="FFFF0000"/>
      <name val="Arial"/>
      <family val="2"/>
    </font>
    <font>
      <u/>
      <sz val="12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5" fillId="0" borderId="0" applyNumberFormat="0" applyFill="0" applyBorder="0" applyAlignment="0" applyProtection="0"/>
    <xf numFmtId="0" fontId="40" fillId="2" borderId="0" applyNumberFormat="0" applyBorder="0" applyAlignment="0" applyProtection="0">
      <alignment vertical="center"/>
    </xf>
  </cellStyleXfs>
  <cellXfs count="35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wrapText="1"/>
    </xf>
    <xf numFmtId="0" fontId="10" fillId="0" borderId="0" xfId="0" applyFont="1"/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3" fillId="0" borderId="1" xfId="1" applyFont="1" applyBorder="1" applyAlignment="1">
      <alignment horizontal="center" vertical="top" wrapText="1"/>
    </xf>
    <xf numFmtId="0" fontId="15" fillId="0" borderId="1" xfId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 indent="1"/>
    </xf>
    <xf numFmtId="0" fontId="14" fillId="0" borderId="1" xfId="0" applyFont="1" applyBorder="1" applyAlignment="1">
      <alignment horizontal="left" vertical="center" wrapText="1"/>
    </xf>
    <xf numFmtId="0" fontId="2" fillId="0" borderId="0" xfId="0" applyFont="1" applyAlignment="1">
      <alignment wrapText="1"/>
    </xf>
    <xf numFmtId="0" fontId="1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/>
    </xf>
    <xf numFmtId="0" fontId="14" fillId="0" borderId="1" xfId="1" applyFont="1" applyBorder="1" applyAlignment="1">
      <alignment horizontal="center" vertical="top"/>
    </xf>
    <xf numFmtId="0" fontId="14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/>
    </xf>
    <xf numFmtId="0" fontId="14" fillId="0" borderId="1" xfId="0" applyFont="1" applyBorder="1" applyAlignment="1">
      <alignment horizontal="left" vertical="top" wrapText="1"/>
    </xf>
    <xf numFmtId="0" fontId="14" fillId="0" borderId="1" xfId="1" applyFont="1" applyBorder="1" applyAlignment="1">
      <alignment horizontal="center" vertical="top" wrapText="1"/>
    </xf>
    <xf numFmtId="0" fontId="11" fillId="0" borderId="0" xfId="0" applyFont="1"/>
    <xf numFmtId="0" fontId="11" fillId="0" borderId="0" xfId="0" applyFont="1" applyAlignment="1">
      <alignment wrapText="1"/>
    </xf>
    <xf numFmtId="0" fontId="5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15" fillId="0" borderId="1" xfId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8" fillId="0" borderId="1" xfId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5" fillId="0" borderId="0" xfId="1" applyAlignment="1">
      <alignment horizontal="center" vertical="center" wrapText="1"/>
    </xf>
    <xf numFmtId="0" fontId="16" fillId="0" borderId="0" xfId="0" applyFont="1" applyAlignment="1">
      <alignment horizontal="left" vertical="center" wrapText="1" indent="1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1" fillId="0" borderId="1" xfId="1" applyFont="1" applyBorder="1" applyAlignment="1">
      <alignment horizontal="center" vertical="center" wrapText="1"/>
    </xf>
    <xf numFmtId="0" fontId="22" fillId="0" borderId="0" xfId="0" applyFont="1" applyAlignment="1">
      <alignment wrapText="1"/>
    </xf>
    <xf numFmtId="0" fontId="22" fillId="0" borderId="0" xfId="0" applyFont="1" applyAlignment="1">
      <alignment horizontal="center" wrapText="1"/>
    </xf>
    <xf numFmtId="0" fontId="13" fillId="0" borderId="1" xfId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 wrapText="1"/>
    </xf>
    <xf numFmtId="0" fontId="25" fillId="0" borderId="1" xfId="1" applyFont="1" applyBorder="1" applyAlignment="1">
      <alignment wrapText="1"/>
    </xf>
    <xf numFmtId="0" fontId="15" fillId="0" borderId="1" xfId="1" applyBorder="1" applyAlignment="1">
      <alignment wrapText="1"/>
    </xf>
    <xf numFmtId="0" fontId="5" fillId="0" borderId="0" xfId="0" applyFont="1" applyAlignment="1">
      <alignment horizontal="center" vertical="top" wrapText="1"/>
    </xf>
    <xf numFmtId="0" fontId="26" fillId="0" borderId="0" xfId="0" applyFont="1"/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left" vertical="center" wrapText="1"/>
    </xf>
    <xf numFmtId="0" fontId="18" fillId="0" borderId="0" xfId="1" applyFont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18" fillId="0" borderId="6" xfId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/>
    </xf>
    <xf numFmtId="0" fontId="18" fillId="0" borderId="1" xfId="1" applyFont="1" applyBorder="1" applyAlignment="1">
      <alignment horizontal="left" vertical="top" wrapText="1"/>
    </xf>
    <xf numFmtId="0" fontId="18" fillId="0" borderId="1" xfId="1" applyFont="1" applyBorder="1" applyAlignment="1">
      <alignment horizontal="left" vertical="top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18" fillId="0" borderId="0" xfId="1" applyFont="1" applyAlignment="1">
      <alignment horizontal="left" vertical="top"/>
    </xf>
    <xf numFmtId="0" fontId="6" fillId="0" borderId="7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top" wrapText="1"/>
    </xf>
    <xf numFmtId="0" fontId="18" fillId="0" borderId="6" xfId="1" applyFont="1" applyBorder="1" applyAlignment="1">
      <alignment horizontal="left" vertical="top"/>
    </xf>
    <xf numFmtId="0" fontId="5" fillId="0" borderId="6" xfId="0" applyFont="1" applyBorder="1" applyAlignment="1">
      <alignment horizontal="center" vertical="top"/>
    </xf>
    <xf numFmtId="0" fontId="27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left" vertical="center" wrapText="1"/>
    </xf>
    <xf numFmtId="0" fontId="5" fillId="0" borderId="6" xfId="0" applyFont="1" applyBorder="1" applyAlignment="1">
      <alignment wrapText="1"/>
    </xf>
    <xf numFmtId="0" fontId="13" fillId="0" borderId="6" xfId="1" applyFont="1" applyBorder="1" applyAlignment="1">
      <alignment wrapText="1"/>
    </xf>
    <xf numFmtId="0" fontId="12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wrapText="1"/>
    </xf>
    <xf numFmtId="0" fontId="28" fillId="0" borderId="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15" fillId="0" borderId="6" xfId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top" wrapText="1"/>
    </xf>
    <xf numFmtId="0" fontId="27" fillId="0" borderId="0" xfId="0" applyFont="1" applyAlignment="1">
      <alignment horizontal="center" vertical="top" wrapText="1"/>
    </xf>
    <xf numFmtId="0" fontId="5" fillId="0" borderId="1" xfId="0" applyFont="1" applyBorder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1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15" fillId="0" borderId="0" xfId="1" applyAlignment="1">
      <alignment horizontal="center" vertical="top" wrapText="1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 wrapText="1"/>
    </xf>
    <xf numFmtId="0" fontId="30" fillId="0" borderId="1" xfId="1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top" wrapText="1"/>
    </xf>
    <xf numFmtId="0" fontId="18" fillId="0" borderId="1" xfId="1" applyFont="1" applyBorder="1" applyAlignment="1">
      <alignment horizontal="left" vertical="center" wrapText="1"/>
    </xf>
    <xf numFmtId="0" fontId="10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24" fillId="0" borderId="8" xfId="0" applyFont="1" applyBorder="1" applyAlignment="1">
      <alignment horizontal="left" vertical="center" wrapText="1"/>
    </xf>
    <xf numFmtId="0" fontId="15" fillId="0" borderId="8" xfId="1" applyBorder="1" applyAlignment="1">
      <alignment horizontal="center" vertical="center" wrapText="1"/>
    </xf>
    <xf numFmtId="0" fontId="15" fillId="0" borderId="0" xfId="1" applyBorder="1" applyAlignment="1">
      <alignment horizontal="center" vertical="center" wrapText="1"/>
    </xf>
    <xf numFmtId="0" fontId="0" fillId="0" borderId="1" xfId="0" applyBorder="1"/>
    <xf numFmtId="0" fontId="15" fillId="0" borderId="1" xfId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31" fillId="0" borderId="1" xfId="1" applyFont="1" applyBorder="1" applyAlignment="1">
      <alignment horizontal="center" vertical="center" wrapText="1"/>
    </xf>
    <xf numFmtId="0" fontId="9" fillId="0" borderId="0" xfId="0" applyFont="1" applyAlignment="1">
      <alignment vertical="top"/>
    </xf>
    <xf numFmtId="0" fontId="32" fillId="0" borderId="0" xfId="0" applyFont="1" applyAlignment="1">
      <alignment vertical="top"/>
    </xf>
    <xf numFmtId="0" fontId="32" fillId="0" borderId="0" xfId="0" applyFont="1" applyAlignment="1">
      <alignment vertical="top" wrapText="1"/>
    </xf>
    <xf numFmtId="0" fontId="15" fillId="0" borderId="6" xfId="1" applyBorder="1" applyAlignment="1">
      <alignment horizontal="center" vertical="top" wrapText="1"/>
    </xf>
    <xf numFmtId="0" fontId="24" fillId="0" borderId="6" xfId="0" applyFont="1" applyBorder="1" applyAlignment="1">
      <alignment horizontal="left" vertical="center" wrapText="1"/>
    </xf>
    <xf numFmtId="0" fontId="11" fillId="0" borderId="0" xfId="0" applyFont="1" applyAlignment="1">
      <alignment vertical="top" wrapText="1"/>
    </xf>
    <xf numFmtId="0" fontId="15" fillId="0" borderId="1" xfId="1" applyFill="1" applyBorder="1" applyAlignment="1">
      <alignment horizontal="center" vertical="center"/>
    </xf>
    <xf numFmtId="0" fontId="33" fillId="0" borderId="1" xfId="1" applyFont="1" applyBorder="1" applyAlignment="1">
      <alignment horizontal="center" vertical="center" wrapText="1"/>
    </xf>
    <xf numFmtId="0" fontId="15" fillId="0" borderId="0" xfId="1" applyAlignment="1">
      <alignment wrapText="1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horizontal="center" vertical="top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4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justify" vertical="top" wrapText="1"/>
    </xf>
    <xf numFmtId="0" fontId="14" fillId="0" borderId="1" xfId="1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justify" vertical="top"/>
    </xf>
    <xf numFmtId="0" fontId="5" fillId="0" borderId="1" xfId="0" applyFont="1" applyBorder="1" applyAlignment="1">
      <alignment vertical="top" wrapText="1"/>
    </xf>
    <xf numFmtId="0" fontId="35" fillId="0" borderId="1" xfId="0" applyFont="1" applyBorder="1" applyAlignment="1">
      <alignment horizontal="center" vertical="top" wrapText="1"/>
    </xf>
    <xf numFmtId="0" fontId="15" fillId="0" borderId="1" xfId="1" applyBorder="1" applyAlignment="1">
      <alignment vertical="top" wrapText="1"/>
    </xf>
    <xf numFmtId="0" fontId="14" fillId="0" borderId="1" xfId="1" applyFont="1" applyBorder="1" applyAlignment="1">
      <alignment horizontal="left" vertical="center" wrapText="1"/>
    </xf>
    <xf numFmtId="0" fontId="14" fillId="0" borderId="1" xfId="0" applyFont="1" applyBorder="1" applyAlignment="1">
      <alignment vertical="top" wrapText="1"/>
    </xf>
    <xf numFmtId="0" fontId="5" fillId="0" borderId="0" xfId="0" applyFont="1" applyAlignment="1">
      <alignment horizontal="justify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justify" vertical="top" wrapText="1"/>
    </xf>
    <xf numFmtId="0" fontId="5" fillId="0" borderId="1" xfId="0" applyFont="1" applyBorder="1" applyAlignment="1">
      <alignment vertical="top"/>
    </xf>
    <xf numFmtId="0" fontId="14" fillId="0" borderId="0" xfId="1" applyFont="1" applyBorder="1" applyAlignment="1">
      <alignment horizontal="center" vertical="top" wrapText="1"/>
    </xf>
    <xf numFmtId="0" fontId="19" fillId="0" borderId="6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justify" vertical="center" wrapText="1"/>
    </xf>
    <xf numFmtId="0" fontId="5" fillId="0" borderId="1" xfId="0" applyFont="1" applyBorder="1"/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4" fillId="0" borderId="6" xfId="0" applyFont="1" applyBorder="1" applyAlignment="1">
      <alignment horizontal="center" vertical="top" wrapText="1"/>
    </xf>
    <xf numFmtId="0" fontId="10" fillId="0" borderId="0" xfId="0" applyFont="1" applyAlignment="1">
      <alignment horizontal="left" vertical="center"/>
    </xf>
    <xf numFmtId="0" fontId="5" fillId="0" borderId="0" xfId="0" applyFont="1" applyAlignment="1">
      <alignment horizontal="justify" vertical="center" wrapText="1"/>
    </xf>
    <xf numFmtId="0" fontId="5" fillId="0" borderId="1" xfId="0" applyFont="1" applyBorder="1" applyAlignment="1">
      <alignment wrapText="1"/>
    </xf>
    <xf numFmtId="0" fontId="14" fillId="0" borderId="1" xfId="1" applyFont="1" applyBorder="1" applyAlignment="1">
      <alignment horizontal="left" vertical="top" wrapText="1"/>
    </xf>
    <xf numFmtId="0" fontId="36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 vertical="top"/>
    </xf>
    <xf numFmtId="0" fontId="36" fillId="0" borderId="1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justify" vertical="top" wrapText="1"/>
    </xf>
    <xf numFmtId="0" fontId="14" fillId="0" borderId="1" xfId="1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top" wrapText="1"/>
    </xf>
    <xf numFmtId="0" fontId="37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38" fillId="0" borderId="1" xfId="1" applyFont="1" applyBorder="1" applyAlignment="1">
      <alignment vertical="top"/>
    </xf>
    <xf numFmtId="0" fontId="15" fillId="0" borderId="1" xfId="1" applyBorder="1" applyAlignment="1">
      <alignment horizontal="left" vertical="top"/>
    </xf>
    <xf numFmtId="0" fontId="15" fillId="0" borderId="1" xfId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 wrapText="1"/>
    </xf>
    <xf numFmtId="0" fontId="36" fillId="0" borderId="1" xfId="0" applyFont="1" applyBorder="1" applyAlignment="1">
      <alignment horizontal="center" vertical="top" wrapText="1"/>
    </xf>
    <xf numFmtId="0" fontId="10" fillId="0" borderId="6" xfId="0" applyFont="1" applyBorder="1" applyAlignment="1">
      <alignment horizontal="center" vertical="top"/>
    </xf>
    <xf numFmtId="0" fontId="10" fillId="0" borderId="6" xfId="0" applyFont="1" applyBorder="1" applyAlignment="1">
      <alignment horizontal="center" vertical="top" wrapText="1"/>
    </xf>
    <xf numFmtId="0" fontId="39" fillId="0" borderId="0" xfId="0" applyFont="1" applyAlignment="1">
      <alignment horizontal="center" vertical="top"/>
    </xf>
    <xf numFmtId="0" fontId="32" fillId="0" borderId="0" xfId="0" applyFont="1"/>
    <xf numFmtId="0" fontId="32" fillId="0" borderId="0" xfId="0" applyFont="1" applyAlignment="1">
      <alignment horizontal="left"/>
    </xf>
    <xf numFmtId="0" fontId="40" fillId="2" borderId="0" xfId="2" applyAlignment="1"/>
    <xf numFmtId="0" fontId="10" fillId="0" borderId="1" xfId="0" applyFont="1" applyBorder="1"/>
    <xf numFmtId="0" fontId="10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43" fillId="5" borderId="1" xfId="0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2" borderId="1" xfId="2" applyFont="1" applyBorder="1" applyAlignment="1">
      <alignment horizontal="center" vertical="center"/>
    </xf>
    <xf numFmtId="0" fontId="43" fillId="3" borderId="0" xfId="0" applyFont="1" applyFill="1" applyAlignment="1">
      <alignment horizontal="center" vertical="center"/>
    </xf>
    <xf numFmtId="0" fontId="43" fillId="3" borderId="1" xfId="0" applyFont="1" applyFill="1" applyBorder="1" applyAlignment="1">
      <alignment horizontal="center" vertical="center"/>
    </xf>
    <xf numFmtId="0" fontId="43" fillId="3" borderId="6" xfId="0" applyFont="1" applyFill="1" applyBorder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0" fontId="43" fillId="2" borderId="6" xfId="2" applyFont="1" applyBorder="1" applyAlignment="1">
      <alignment horizontal="center" vertical="center"/>
    </xf>
    <xf numFmtId="0" fontId="43" fillId="5" borderId="6" xfId="0" applyFont="1" applyFill="1" applyBorder="1" applyAlignment="1">
      <alignment horizontal="center" vertical="center"/>
    </xf>
    <xf numFmtId="0" fontId="43" fillId="3" borderId="8" xfId="0" applyFont="1" applyFill="1" applyBorder="1" applyAlignment="1">
      <alignment horizontal="center" vertical="center"/>
    </xf>
    <xf numFmtId="0" fontId="43" fillId="0" borderId="8" xfId="0" applyFont="1" applyBorder="1" applyAlignment="1">
      <alignment horizontal="center" vertical="center"/>
    </xf>
    <xf numFmtId="0" fontId="43" fillId="2" borderId="8" xfId="2" applyFont="1" applyBorder="1" applyAlignment="1">
      <alignment horizontal="center" vertical="center"/>
    </xf>
    <xf numFmtId="0" fontId="43" fillId="5" borderId="8" xfId="0" applyFont="1" applyFill="1" applyBorder="1" applyAlignment="1">
      <alignment horizontal="center" vertical="center"/>
    </xf>
    <xf numFmtId="0" fontId="43" fillId="3" borderId="1" xfId="0" applyFont="1" applyFill="1" applyBorder="1"/>
    <xf numFmtId="0" fontId="43" fillId="0" borderId="1" xfId="0" applyFont="1" applyBorder="1"/>
    <xf numFmtId="0" fontId="43" fillId="2" borderId="1" xfId="2" applyFont="1" applyBorder="1" applyAlignment="1"/>
    <xf numFmtId="0" fontId="16" fillId="0" borderId="6" xfId="0" applyFont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/>
    </xf>
    <xf numFmtId="0" fontId="43" fillId="0" borderId="1" xfId="0" applyFont="1" applyBorder="1" applyAlignment="1">
      <alignment horizontal="center"/>
    </xf>
    <xf numFmtId="0" fontId="43" fillId="2" borderId="1" xfId="2" applyFont="1" applyBorder="1" applyAlignment="1">
      <alignment horizontal="center"/>
    </xf>
    <xf numFmtId="0" fontId="43" fillId="0" borderId="11" xfId="0" applyFont="1" applyBorder="1" applyAlignment="1">
      <alignment horizontal="center" vertical="center"/>
    </xf>
    <xf numFmtId="0" fontId="43" fillId="3" borderId="6" xfId="0" applyFont="1" applyFill="1" applyBorder="1"/>
    <xf numFmtId="0" fontId="43" fillId="0" borderId="6" xfId="0" applyFont="1" applyBorder="1"/>
    <xf numFmtId="0" fontId="43" fillId="2" borderId="6" xfId="2" applyFont="1" applyBorder="1" applyAlignment="1"/>
    <xf numFmtId="0" fontId="43" fillId="0" borderId="9" xfId="0" applyFont="1" applyBorder="1" applyAlignment="1">
      <alignment horizontal="center" vertical="center"/>
    </xf>
    <xf numFmtId="0" fontId="5" fillId="5" borderId="11" xfId="0" applyFont="1" applyFill="1" applyBorder="1"/>
    <xf numFmtId="0" fontId="5" fillId="5" borderId="13" xfId="0" applyFont="1" applyFill="1" applyBorder="1"/>
    <xf numFmtId="0" fontId="5" fillId="5" borderId="2" xfId="0" applyFont="1" applyFill="1" applyBorder="1"/>
    <xf numFmtId="0" fontId="10" fillId="4" borderId="0" xfId="0" applyFont="1" applyFill="1"/>
    <xf numFmtId="0" fontId="10" fillId="5" borderId="8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5" fillId="4" borderId="0" xfId="0" applyFont="1" applyFill="1"/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44" fillId="2" borderId="1" xfId="2" applyFont="1" applyBorder="1" applyAlignment="1">
      <alignment wrapText="1"/>
    </xf>
    <xf numFmtId="0" fontId="44" fillId="2" borderId="1" xfId="2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9" fillId="0" borderId="11" xfId="0" applyFont="1" applyBorder="1"/>
    <xf numFmtId="0" fontId="9" fillId="0" borderId="9" xfId="0" applyFont="1" applyBorder="1"/>
    <xf numFmtId="0" fontId="9" fillId="0" borderId="10" xfId="0" applyFont="1" applyBorder="1"/>
    <xf numFmtId="0" fontId="3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10" fillId="4" borderId="11" xfId="0" applyFont="1" applyFill="1" applyBorder="1" applyAlignment="1">
      <alignment horizontal="center"/>
    </xf>
    <xf numFmtId="0" fontId="10" fillId="4" borderId="13" xfId="0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10" fillId="0" borderId="9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9" fillId="0" borderId="1" xfId="0" applyFont="1" applyBorder="1" applyAlignment="1">
      <alignment horizontal="right" wrapText="1"/>
    </xf>
    <xf numFmtId="0" fontId="32" fillId="0" borderId="0" xfId="0" applyFont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left"/>
    </xf>
    <xf numFmtId="0" fontId="10" fillId="0" borderId="12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0" fillId="0" borderId="4" xfId="0" applyFont="1" applyBorder="1" applyAlignment="1">
      <alignment horizontal="left" vertical="top"/>
    </xf>
    <xf numFmtId="0" fontId="3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4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32" fillId="0" borderId="0" xfId="0" applyFont="1" applyAlignment="1">
      <alignment horizontal="left" vertical="top" wrapText="1"/>
    </xf>
    <xf numFmtId="0" fontId="10" fillId="0" borderId="4" xfId="0" applyFont="1" applyBorder="1" applyAlignment="1">
      <alignment horizontal="left" vertical="center"/>
    </xf>
    <xf numFmtId="0" fontId="19" fillId="0" borderId="4" xfId="0" applyFont="1" applyBorder="1" applyAlignment="1">
      <alignment horizontal="left" vertical="top"/>
    </xf>
    <xf numFmtId="0" fontId="11" fillId="0" borderId="4" xfId="0" applyFont="1" applyBorder="1" applyAlignment="1">
      <alignment horizontal="left" vertical="top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23" fillId="0" borderId="0" xfId="0" applyFont="1" applyAlignment="1">
      <alignment horizontal="left" wrapText="1"/>
    </xf>
    <xf numFmtId="0" fontId="5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45" fillId="0" borderId="1" xfId="0" applyFont="1" applyBorder="1" applyAlignment="1">
      <alignment horizontal="center" vertical="center"/>
    </xf>
    <xf numFmtId="0" fontId="45" fillId="0" borderId="11" xfId="0" applyFont="1" applyBorder="1" applyAlignment="1">
      <alignment horizontal="center" vertical="center"/>
    </xf>
    <xf numFmtId="0" fontId="46" fillId="0" borderId="1" xfId="0" applyFont="1" applyBorder="1" applyAlignment="1">
      <alignment horizontal="left"/>
    </xf>
    <xf numFmtId="0" fontId="46" fillId="0" borderId="1" xfId="0" applyFont="1" applyBorder="1"/>
    <xf numFmtId="0" fontId="46" fillId="0" borderId="0" xfId="0" applyFont="1"/>
    <xf numFmtId="0" fontId="45" fillId="0" borderId="13" xfId="0" applyFont="1" applyBorder="1"/>
    <xf numFmtId="0" fontId="46" fillId="0" borderId="6" xfId="0" applyFont="1" applyBorder="1" applyAlignment="1">
      <alignment horizontal="left"/>
    </xf>
    <xf numFmtId="0" fontId="46" fillId="0" borderId="8" xfId="0" applyFont="1" applyBorder="1" applyAlignment="1">
      <alignment horizontal="left"/>
    </xf>
    <xf numFmtId="0" fontId="46" fillId="0" borderId="1" xfId="0" applyFont="1" applyBorder="1" applyAlignment="1">
      <alignment horizontal="left" wrapText="1"/>
    </xf>
    <xf numFmtId="0" fontId="45" fillId="0" borderId="12" xfId="0" applyFont="1" applyBorder="1"/>
    <xf numFmtId="0" fontId="45" fillId="0" borderId="4" xfId="0" applyFont="1" applyBorder="1"/>
    <xf numFmtId="0" fontId="46" fillId="0" borderId="2" xfId="0" applyFont="1" applyBorder="1" applyAlignment="1">
      <alignment horizontal="left" wrapText="1"/>
    </xf>
    <xf numFmtId="0" fontId="46" fillId="0" borderId="2" xfId="0" applyFont="1" applyBorder="1" applyAlignment="1">
      <alignment horizontal="left"/>
    </xf>
    <xf numFmtId="0" fontId="46" fillId="0" borderId="3" xfId="0" applyFont="1" applyBorder="1" applyAlignment="1">
      <alignment horizontal="left" wrapText="1"/>
    </xf>
    <xf numFmtId="0" fontId="45" fillId="4" borderId="4" xfId="0" applyFont="1" applyFill="1" applyBorder="1"/>
    <xf numFmtId="0" fontId="46" fillId="0" borderId="1" xfId="0" applyFont="1" applyBorder="1" applyAlignment="1">
      <alignment wrapText="1"/>
    </xf>
    <xf numFmtId="0" fontId="46" fillId="0" borderId="1" xfId="0" applyFont="1" applyBorder="1" applyAlignment="1">
      <alignment horizontal="left" vertical="center"/>
    </xf>
    <xf numFmtId="0" fontId="46" fillId="0" borderId="1" xfId="0" applyFont="1" applyBorder="1" applyAlignment="1">
      <alignment vertical="center"/>
    </xf>
    <xf numFmtId="0" fontId="46" fillId="0" borderId="0" xfId="0" applyFont="1" applyAlignment="1">
      <alignment vertical="center"/>
    </xf>
    <xf numFmtId="0" fontId="46" fillId="0" borderId="6" xfId="0" applyFont="1" applyBorder="1" applyAlignment="1">
      <alignment horizontal="left" vertical="center"/>
    </xf>
    <xf numFmtId="0" fontId="46" fillId="0" borderId="8" xfId="0" applyFont="1" applyBorder="1" applyAlignment="1">
      <alignment horizontal="left" vertical="center"/>
    </xf>
    <xf numFmtId="0" fontId="46" fillId="0" borderId="1" xfId="0" quotePrefix="1" applyFont="1" applyBorder="1" applyAlignment="1">
      <alignment horizontal="left" vertical="center"/>
    </xf>
    <xf numFmtId="0" fontId="46" fillId="0" borderId="6" xfId="0" applyFont="1" applyBorder="1"/>
    <xf numFmtId="0" fontId="47" fillId="0" borderId="0" xfId="0" applyFont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48" fillId="0" borderId="2" xfId="0" applyFont="1" applyBorder="1" applyAlignment="1">
      <alignment vertical="center" wrapText="1"/>
    </xf>
    <xf numFmtId="0" fontId="48" fillId="0" borderId="2" xfId="0" applyFont="1" applyBorder="1" applyAlignment="1">
      <alignment horizontal="left" vertical="center" wrapText="1"/>
    </xf>
    <xf numFmtId="0" fontId="48" fillId="0" borderId="2" xfId="0" applyFont="1" applyBorder="1" applyAlignment="1">
      <alignment horizontal="center" vertical="top" wrapText="1"/>
    </xf>
    <xf numFmtId="0" fontId="48" fillId="0" borderId="3" xfId="0" applyFont="1" applyBorder="1" applyAlignment="1">
      <alignment horizontal="center" vertical="center" wrapText="1"/>
    </xf>
    <xf numFmtId="0" fontId="48" fillId="0" borderId="2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left" vertical="center" wrapText="1"/>
    </xf>
    <xf numFmtId="0" fontId="48" fillId="0" borderId="1" xfId="0" applyFont="1" applyBorder="1" applyAlignment="1">
      <alignment horizontal="center" vertical="top" wrapText="1"/>
    </xf>
    <xf numFmtId="0" fontId="48" fillId="0" borderId="1" xfId="0" applyFont="1" applyBorder="1" applyAlignment="1">
      <alignment horizontal="left" vertical="top" wrapText="1"/>
    </xf>
    <xf numFmtId="0" fontId="48" fillId="0" borderId="1" xfId="0" applyFont="1" applyBorder="1" applyAlignment="1">
      <alignment horizontal="left" vertical="center"/>
    </xf>
    <xf numFmtId="0" fontId="49" fillId="0" borderId="1" xfId="1" applyFont="1" applyBorder="1" applyAlignment="1">
      <alignment horizontal="left" vertical="top" wrapText="1"/>
    </xf>
    <xf numFmtId="0" fontId="48" fillId="0" borderId="0" xfId="0" applyFont="1" applyAlignment="1">
      <alignment horizontal="left" vertical="center" wrapText="1"/>
    </xf>
    <xf numFmtId="0" fontId="48" fillId="0" borderId="0" xfId="0" applyFont="1" applyAlignment="1">
      <alignment horizontal="center" vertical="center"/>
    </xf>
  </cellXfs>
  <cellStyles count="3">
    <cellStyle name="Hyperlink" xfId="1" builtinId="8"/>
    <cellStyle name="Neutral" xfId="2" builtinId="28"/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220979</xdr:colOff>
      <xdr:row>0</xdr:row>
      <xdr:rowOff>56029</xdr:rowOff>
    </xdr:from>
    <xdr:to>
      <xdr:col>5</xdr:col>
      <xdr:colOff>414618</xdr:colOff>
      <xdr:row>6</xdr:row>
      <xdr:rowOff>100853</xdr:rowOff>
    </xdr:to>
    <xdr:pic>
      <xdr:nvPicPr>
        <xdr:cNvPr id="4" name="Picture 3" descr="A logo with a sun and stars&#10;&#10;Description automatically generated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04185" y="56029"/>
          <a:ext cx="1303021" cy="11878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2138231</xdr:colOff>
      <xdr:row>0</xdr:row>
      <xdr:rowOff>60101</xdr:rowOff>
    </xdr:from>
    <xdr:to>
      <xdr:col>2</xdr:col>
      <xdr:colOff>308161</xdr:colOff>
      <xdr:row>7</xdr:row>
      <xdr:rowOff>11206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47613" y="60101"/>
          <a:ext cx="1223533" cy="12846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18</xdr:col>
      <xdr:colOff>304315</xdr:colOff>
      <xdr:row>0</xdr:row>
      <xdr:rowOff>157443</xdr:rowOff>
    </xdr:from>
    <xdr:to>
      <xdr:col>21</xdr:col>
      <xdr:colOff>106258</xdr:colOff>
      <xdr:row>6</xdr:row>
      <xdr:rowOff>99658</xdr:rowOff>
    </xdr:to>
    <xdr:pic>
      <xdr:nvPicPr>
        <xdr:cNvPr id="6" name="Picture 5" descr="A close-up of a label&#10;&#10;Description automatically generated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34197" y="157443"/>
          <a:ext cx="1692536" cy="1085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324970</xdr:colOff>
      <xdr:row>0</xdr:row>
      <xdr:rowOff>0</xdr:rowOff>
    </xdr:from>
    <xdr:to>
      <xdr:col>2</xdr:col>
      <xdr:colOff>560293</xdr:colOff>
      <xdr:row>6</xdr:row>
      <xdr:rowOff>180977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00735" y="0"/>
          <a:ext cx="1311910" cy="1323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627531</xdr:colOff>
      <xdr:row>0</xdr:row>
      <xdr:rowOff>0</xdr:rowOff>
    </xdr:from>
    <xdr:to>
      <xdr:col>2</xdr:col>
      <xdr:colOff>2017061</xdr:colOff>
      <xdr:row>6</xdr:row>
      <xdr:rowOff>145676</xdr:rowOff>
    </xdr:to>
    <xdr:pic>
      <xdr:nvPicPr>
        <xdr:cNvPr id="6" name="Picture 5" descr="A logo with a sun and stars&#10;&#10;Description automatically generated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79955" y="0"/>
          <a:ext cx="1389380" cy="12884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236444</xdr:colOff>
      <xdr:row>0</xdr:row>
      <xdr:rowOff>136708</xdr:rowOff>
    </xdr:from>
    <xdr:to>
      <xdr:col>6</xdr:col>
      <xdr:colOff>862853</xdr:colOff>
      <xdr:row>6</xdr:row>
      <xdr:rowOff>145676</xdr:rowOff>
    </xdr:to>
    <xdr:pic>
      <xdr:nvPicPr>
        <xdr:cNvPr id="7" name="Picture 6" descr="A close-up of a label&#10;&#10;Description automatically generated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37545" y="136525"/>
          <a:ext cx="1588135" cy="11518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49530</xdr:colOff>
      <xdr:row>0</xdr:row>
      <xdr:rowOff>95250</xdr:rowOff>
    </xdr:from>
    <xdr:to>
      <xdr:col>2</xdr:col>
      <xdr:colOff>1243330</xdr:colOff>
      <xdr:row>6</xdr:row>
      <xdr:rowOff>32385</xdr:rowOff>
    </xdr:to>
    <xdr:pic>
      <xdr:nvPicPr>
        <xdr:cNvPr id="2" name="Picture 1" descr="A logo with a sun and stars&#10;&#10;Description automatically generated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0180" y="95250"/>
          <a:ext cx="1193800" cy="10991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391795</xdr:colOff>
      <xdr:row>0</xdr:row>
      <xdr:rowOff>48895</xdr:rowOff>
    </xdr:from>
    <xdr:to>
      <xdr:col>2</xdr:col>
      <xdr:colOff>23495</xdr:colOff>
      <xdr:row>6</xdr:row>
      <xdr:rowOff>95885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1795" y="48895"/>
          <a:ext cx="1022350" cy="12090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1724660</xdr:colOff>
      <xdr:row>0</xdr:row>
      <xdr:rowOff>104775</xdr:rowOff>
    </xdr:from>
    <xdr:to>
      <xdr:col>6</xdr:col>
      <xdr:colOff>452120</xdr:colOff>
      <xdr:row>6</xdr:row>
      <xdr:rowOff>37465</xdr:rowOff>
    </xdr:to>
    <xdr:pic>
      <xdr:nvPicPr>
        <xdr:cNvPr id="4" name="Picture 3" descr="A close-up of a label&#10;&#10;Description automatically generated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25310" y="104775"/>
          <a:ext cx="1499235" cy="1094740"/>
        </a:xfrm>
        <a:prstGeom prst="rect">
          <a:avLst/>
        </a:prstGeom>
      </xdr:spPr>
    </xdr:pic>
    <xdr:clientData/>
  </xdr:twoCellAnchor>
  <xdr:twoCellAnchor editAs="oneCell">
    <xdr:from>
      <xdr:col>1</xdr:col>
      <xdr:colOff>800100</xdr:colOff>
      <xdr:row>0</xdr:row>
      <xdr:rowOff>19050</xdr:rowOff>
    </xdr:from>
    <xdr:to>
      <xdr:col>2</xdr:col>
      <xdr:colOff>1133475</xdr:colOff>
      <xdr:row>5</xdr:row>
      <xdr:rowOff>152400</xdr:rowOff>
    </xdr:to>
    <xdr:pic>
      <xdr:nvPicPr>
        <xdr:cNvPr id="5" name="Picture 4" descr="A logo with a sun and stars&#10;&#10;Description automatically generated">
          <a:extLst>
            <a:ext uri="{FF2B5EF4-FFF2-40B4-BE49-F238E27FC236}">
              <a16:creationId xmlns:a16="http://schemas.microsoft.com/office/drawing/2014/main" id="{3395D7FA-FF8D-4657-8F66-A3DD4700C49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38275" y="19050"/>
          <a:ext cx="1181100" cy="1104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257176</xdr:colOff>
      <xdr:row>0</xdr:row>
      <xdr:rowOff>38100</xdr:rowOff>
    </xdr:from>
    <xdr:to>
      <xdr:col>1</xdr:col>
      <xdr:colOff>762001</xdr:colOff>
      <xdr:row>5</xdr:row>
      <xdr:rowOff>161925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F65DADA-CCFF-4B9E-8B9D-4969B0D81E3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57176" y="38100"/>
          <a:ext cx="1143000" cy="1095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0</xdr:row>
      <xdr:rowOff>152400</xdr:rowOff>
    </xdr:from>
    <xdr:to>
      <xdr:col>7</xdr:col>
      <xdr:colOff>19050</xdr:colOff>
      <xdr:row>6</xdr:row>
      <xdr:rowOff>9525</xdr:rowOff>
    </xdr:to>
    <xdr:pic>
      <xdr:nvPicPr>
        <xdr:cNvPr id="7" name="Picture 6" descr="A close-up of a label&#10;&#10;Description automatically generated">
          <a:extLst>
            <a:ext uri="{FF2B5EF4-FFF2-40B4-BE49-F238E27FC236}">
              <a16:creationId xmlns:a16="http://schemas.microsoft.com/office/drawing/2014/main" id="{D89A463A-9EAD-4DB7-A930-F835F4336279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0" y="152400"/>
          <a:ext cx="1895475" cy="1019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research.ebsco.com/c/fcl55w/search/details/ebayfiqmxz?db=e000xww%2Cnlebk%2Cagp%2Cofm%2Cddu&amp;limiters=DT1%3A2014-11-26%2F2024-11-26&amp;q=Families%20and%20Family%20Values%20in%20Society%20and%20Culture." TargetMode="External"/><Relationship Id="rId21" Type="http://schemas.openxmlformats.org/officeDocument/2006/relationships/hyperlink" Target="https://research.ebsco.com/c/fcl55w/search/details/n3a64vrtoz?db=e000xww%2Cnlebk%2Cagp%2Cofm%2Cddu&amp;limiters=DT1%3A2014-11-26%2F2024-11-26&amp;q=Mathematics%20Education%20%3A%20History%20and%20Research" TargetMode="External"/><Relationship Id="rId42" Type="http://schemas.openxmlformats.org/officeDocument/2006/relationships/hyperlink" Target="https://research.ebsco.com/c/fcl55w/search/details/bdwv56kcob?db=e000xww%2Cnlebk%2Cagp%2Cofm%2Cddu&amp;limiters=DT1%3A2014-11-26%2F2024-11-26&amp;q=Globalization%20after" TargetMode="External"/><Relationship Id="rId47" Type="http://schemas.openxmlformats.org/officeDocument/2006/relationships/hyperlink" Target="https://research.ebsco.com/c/fcl55w/search/details/4eelarfmkr?db=e000xww%2Cnlebk%2Cagp%2Cofm%2Cddu&amp;limiters=DT1%3A2014-11-26%2F2024-11-26&amp;q=The%20Politics%20of%20Perception" TargetMode="External"/><Relationship Id="rId63" Type="http://schemas.openxmlformats.org/officeDocument/2006/relationships/hyperlink" Target="https://research.ebsco.com/c/fcl55w/search/details/n5kygzdljz?db=e000xww%2Cnlebk%2Cagp%2Cofm%2Cddu&amp;limiters=DT1%3A2019-11-26%2F2024-11-26&amp;q=Inorganic" TargetMode="External"/><Relationship Id="rId68" Type="http://schemas.openxmlformats.org/officeDocument/2006/relationships/hyperlink" Target="https://research.ebsco.com/c/fcl55w/search/details/3624pvjpnn?db=e000xww%2Cnlebk%2Cagp%2Cofm%2Cddu&amp;limiters=DT1%3A2019-11-26%2F2024-11-26&amp;q=Sustainable%20Entrepreneurship" TargetMode="External"/><Relationship Id="rId84" Type="http://schemas.openxmlformats.org/officeDocument/2006/relationships/hyperlink" Target="https://research.ebsco.com/c/fcl55w/search/details/racnzqzlgj?db=e000xww%2Cnlebk%2Cagp%2Cofm%2Cddu&amp;limiters=DT1%3A2019-11-26%2F2024-11-26&amp;q=Ecologically%20-%20based" TargetMode="External"/><Relationship Id="rId89" Type="http://schemas.openxmlformats.org/officeDocument/2006/relationships/hyperlink" Target="https://research.ebsco.com/c/fcl55w/search/details/esuaq3ypyf?db=e000xww%2Cnlebk%2Cagp%2Cofm%2Cddu&amp;limiters=DT1%3A2019-11-26%2F2024-11-26&amp;q=The%20Life%20of%20Plants%20in%20a%20Changing%20Environment" TargetMode="External"/><Relationship Id="rId112" Type="http://schemas.openxmlformats.org/officeDocument/2006/relationships/hyperlink" Target="https://research.ebsco.com/c/fcl55w/search/results?q=Unsaturated%20Soils%3A%20Behavior%2C%20Mechanics%20and%20Conditions&amp;autocorrect=y&amp;db=e000xww%2Cnlebk%2Cagp%2Cofm%2Cddu&amp;expanders=concept&amp;facetFilter=sourceTypes%3ANDMyQks%3D&amp;limiters=DT1%3A2014-11-27%2F2024-11-27&amp;resetPageNumber=true&amp;searchMode=boolean&amp;searchSegment=all-results" TargetMode="External"/><Relationship Id="rId16" Type="http://schemas.openxmlformats.org/officeDocument/2006/relationships/hyperlink" Target="https://research.ebsco.com/c/fcl55w/search/details/bwlseirzuz?db=e000xww%2Cnlebk%2Cagp%2Cofm%2Cddu&amp;limiters=DT1%3A2019-11-26%2F2024-11-26&amp;q=Broad%20exposure%20to%20science%20and%20technology" TargetMode="External"/><Relationship Id="rId107" Type="http://schemas.openxmlformats.org/officeDocument/2006/relationships/hyperlink" Target="https://research.ebsco.com/c/fcl55w/search/details/oscrnxd2j5?db=e000xww%2Cnlebk%2Cagp%2Cofm%2Cddu&amp;limiters=DT1%3A2014-11-27%2F2024-11-27&amp;q=Freedom%20Incorporated%20%3A%20Anticommunism%20and%C2%A0Philippine%C2%A0Independence%20in%20the%20Age%20of%20Decolonization" TargetMode="External"/><Relationship Id="rId11" Type="http://schemas.openxmlformats.org/officeDocument/2006/relationships/hyperlink" Target="javascript:__doLinkPostBack('','ss~~AR%20%22Charles%20Russo%22%7C%7Csl~~rl','');" TargetMode="External"/><Relationship Id="rId32" Type="http://schemas.openxmlformats.org/officeDocument/2006/relationships/hyperlink" Target="https://research.ebsco.com/c/fcl55w/search/details/dsrjubpz6v?db=e000xww%2Cnlebk%2Cagp%2Cofm%2Cddu&amp;limiters=DT1%3A2014-11-26%2F2024-11-26&amp;q=Teaching%20and%20Assessing%20Intercultural%20Communicative%20Competence%3A%20Revisited" TargetMode="External"/><Relationship Id="rId37" Type="http://schemas.openxmlformats.org/officeDocument/2006/relationships/hyperlink" Target="https://research.ebsco.com/c/fcl55w/search/details/p47e3pxmgn?db=e000xww%2Cnlebk%2Cagp%2Cofm%2Cddu&amp;limiters=DT1%3A2014-11-26%2F2024-11-26&amp;q=The%20History%20of%20the%20Philippines" TargetMode="External"/><Relationship Id="rId53" Type="http://schemas.openxmlformats.org/officeDocument/2006/relationships/hyperlink" Target="https://research.ebsco.com/c/fcl55w/search/details/cmtmkw5eer?db=e000xww%2Cnlebk%2Cagp%2Cofm%2Cddu&amp;limiters=DT1%3A2019-11-26%2F2024-11-26&amp;q=Technology%20for%20Environmentally" TargetMode="External"/><Relationship Id="rId58" Type="http://schemas.openxmlformats.org/officeDocument/2006/relationships/hyperlink" Target="https://research.ebsco.com/c/fcl55w/search/details/v5jmqonps5?db=e000xww%2Cnlebk%2Cagp%2Cofm%2Cddu&amp;limiters=DT1%3A2019-11-26%2F2024-11-26&amp;q=Computer%20Science%20and%20Multimedia%20Technologies" TargetMode="External"/><Relationship Id="rId74" Type="http://schemas.openxmlformats.org/officeDocument/2006/relationships/hyperlink" Target="https://research.ebsco.com/c/fcl55w/search/details/x6jv75llnf?db=e000xww%2Cnlebk%2Cagp%2Cofm%2Cddu&amp;limiters=DT1%3A2019-11-26%2F2024-11-26&amp;q=Organic%20Chemistry" TargetMode="External"/><Relationship Id="rId79" Type="http://schemas.openxmlformats.org/officeDocument/2006/relationships/hyperlink" Target="https://research.ebsco.com/c/fcl55w/search/details/qldrmkrxzz?db=e000xww%2Cnlebk%2Cagp%2Cofm%2Cddu&amp;limiters=DT1%3A2019-11-26%2F2024-11-26&amp;q=sociology" TargetMode="External"/><Relationship Id="rId102" Type="http://schemas.openxmlformats.org/officeDocument/2006/relationships/hyperlink" Target="https://research.ebsco.com/c/fcl55w/search/details/sttye73uo5?db=e000xww%2Cnlebk%2Cagp%2Cofm%2Cddu&amp;limiters=DT1%3A2019-11-27%2F2024-11-27&amp;q=ICTs%20for%20Agricultural%20Extension%3A%20Global%20Experiments%2CInnovations%20and%20Experiences" TargetMode="External"/><Relationship Id="rId5" Type="http://schemas.openxmlformats.org/officeDocument/2006/relationships/hyperlink" Target="javascript:__doLinkPostBack('','ss~~AR%20%22Dr.%20Gary%20S.%20Goodman%22%7C%7Csl~~rl','');" TargetMode="External"/><Relationship Id="rId90" Type="http://schemas.openxmlformats.org/officeDocument/2006/relationships/hyperlink" Target="https://research.ebsco.com/c/fcl55w/search/details/msfa5seu4f?db=e000xww%2Cnlebk%2Cagp%2Cofm%2Cddu&amp;limiters=DT1%3A2019-11-26%2F2024-11-26&amp;q=Sustainable%20Natural%20Resource%20Management%20in%20the%20Himalayan%20Region%3A%20Livelihood%20and%20Climate%20Change" TargetMode="External"/><Relationship Id="rId95" Type="http://schemas.openxmlformats.org/officeDocument/2006/relationships/hyperlink" Target="https://research.ebsco.com/c/fcl55w/search/details/kk65sjuafr?db=e000xww%2Cnlebk%2Cagp%2Cofm%2Cddu&amp;limiters=DT1%3A2019-11-26%2F2024-11-26&amp;q=nursery%20management" TargetMode="External"/><Relationship Id="rId22" Type="http://schemas.openxmlformats.org/officeDocument/2006/relationships/hyperlink" Target="https://research.ebsco.com/c/fcl55w/search/details/lkz4wrrblv?db=e000xww%2Cnlebk%2Cagp%2Cofm%2Cddu&amp;limiters=DT1%3A2014-11-26%2F2024-11-26&amp;q=The%20Evolved%C2%A0Self%C2%A0%3A%20Mapping%20an%C2%A0Understanding%C2%A0of%20Who%20We%20Are" TargetMode="External"/><Relationship Id="rId27" Type="http://schemas.openxmlformats.org/officeDocument/2006/relationships/hyperlink" Target="https://research.ebsco.com/c/fcl55w/search/details/wbdouavewj?db=e000xww%2Cnlebk%2Cagp%2Cofm%2Cddu&amp;limiters=DT1%3A2019-11-26%2F2024-11-26%2CFT%3AY&amp;q=Ethics%20in%20Action%20for%20Sustainable%20Development" TargetMode="External"/><Relationship Id="rId43" Type="http://schemas.openxmlformats.org/officeDocument/2006/relationships/hyperlink" Target="https://research.ebsco.com/c/fcl55w/search/details/lrw3co7p35?db=e000xww%2Cnlebk%2Cagp%2Cofm%2Cddu&amp;limiters=DT1%3A2014-11-26%2F2024-11-26&amp;q=The%20City%20in%20Time" TargetMode="External"/><Relationship Id="rId48" Type="http://schemas.openxmlformats.org/officeDocument/2006/relationships/hyperlink" Target="https://research.ebsco.com/c/fcl55w/search/details/4cvbgg4lt5?db=e000xww%2Cnlebk%2Cagp%2Cofm%2Cddu&amp;limiters=DT1%3A2014-11-26%2F2024-11-26&amp;q=Agroforestry%3A%20Systems%20and%20Practices" TargetMode="External"/><Relationship Id="rId64" Type="http://schemas.openxmlformats.org/officeDocument/2006/relationships/hyperlink" Target="https://research.ebsco.com/c/fcl55w/search/details/6wxn3pwqsv?db=e000xww%2Cnlebk%2Cagp%2Cofm%2Cddu&amp;limiters=DT1%3A2019-11-26%2F2024-11-26&amp;q=Mechanical%20Drawing" TargetMode="External"/><Relationship Id="rId69" Type="http://schemas.openxmlformats.org/officeDocument/2006/relationships/hyperlink" Target="https://research.ebsco.com/c/fcl55w/search/details/m2ckghspnf?db=e000xww%2Cnlebk%2Cagp%2Cofm%2Cddu&amp;limiters=DT1%3A2019-11-26%2F2024-11-26&amp;q=Entrepreneurship%20as%20Empowerment" TargetMode="External"/><Relationship Id="rId113" Type="http://schemas.openxmlformats.org/officeDocument/2006/relationships/printerSettings" Target="../printerSettings/printerSettings2.bin"/><Relationship Id="rId80" Type="http://schemas.openxmlformats.org/officeDocument/2006/relationships/hyperlink" Target="https://research.ebsco.com/c/fcl55w/search/details/rpwsl2gnbr?db=e000xww%2Cnlebk%2Cagp%2Cofm%2Cddu&amp;limiters=DT1%3A2019-11-26%2F2024-11-26&amp;q=sociology" TargetMode="External"/><Relationship Id="rId85" Type="http://schemas.openxmlformats.org/officeDocument/2006/relationships/hyperlink" Target="https://research.ebsco.com/c/fcl55w/search/details/dqksmilvuf?db=e000xww%2Cnlebk%2Cagp%2Cofm%2Cddu&amp;limiters=DT1%3A2019-11-26%2F2024-11-26&amp;q=Environmental%20Stress%20" TargetMode="External"/><Relationship Id="rId12" Type="http://schemas.openxmlformats.org/officeDocument/2006/relationships/hyperlink" Target="javascript:__doLinkPostBack('','ss~~AR%20%22Drid%2C%20Patrik%22%7C%7Csl~~rl','');" TargetMode="External"/><Relationship Id="rId17" Type="http://schemas.openxmlformats.org/officeDocument/2006/relationships/hyperlink" Target="https://research.ebsco.com/c/fcl55w/search/details/zgebqnzp4j?db=e000xww%2Cnlebk%2Cagp%2Cofm%2Cddu&amp;limiters=DT1%3A2014-11-26%2F2024-11-26&amp;q=Applications%20of%20Advanced%20Ceramics%20in%20Science%2C%20Technology%2C%20and%20Medicine" TargetMode="External"/><Relationship Id="rId33" Type="http://schemas.openxmlformats.org/officeDocument/2006/relationships/hyperlink" Target="https://research.ebsco.com/c/fcl55w/search/details/oscrnxd2j5?db=e000xww%2Cnlebk%2Cagp%2Cofm%2Cddu&amp;limiters=DT1%3A2014-11-26%2F2024-11-26&amp;q=Freedom%20Incorporated%20%3A%20Anticommunism%20and%C2%A0Philippine%C2%A0Independence%20in%20the%20Age%20of%20Decolonization" TargetMode="External"/><Relationship Id="rId38" Type="http://schemas.openxmlformats.org/officeDocument/2006/relationships/hyperlink" Target="https://research.ebsco.com/c/fcl55w/search/details/7n2himkjw5?db=e000xww%2Cnlebk%2Cagp%2Cofm%2Cddu&amp;limiters=DT1%3A2014-11-26%2F2024-11-26&amp;q=Asian%20Place%2C%20Filipino%20Nation%20%3A%20A%20Global%20Intellectual%20History%20of%20the%20Philippine%20Revolution" TargetMode="External"/><Relationship Id="rId59" Type="http://schemas.openxmlformats.org/officeDocument/2006/relationships/hyperlink" Target="https://research.ebsco.com/c/fcl55w/search/details/m6n63iaiyr?db=e000xww%2Cnlebk%2Cagp%2Cofm%2Cddu&amp;limiters=DT1%3A2019-11-26%2F2024-11-26&amp;q=Foundations%20of%20Computer%20Science" TargetMode="External"/><Relationship Id="rId103" Type="http://schemas.openxmlformats.org/officeDocument/2006/relationships/hyperlink" Target="https://research.ebsco.com/c/fcl55w/search/details/votwk5dtnz?db=e000xww%2Cnlebk%2Cagp%2Cofm%2Cddu&amp;limiters=DT1%3A2019-11-27%2F2024-11-27&amp;q=Mobile%20Phones%20for%20Agricultural%20Extension" TargetMode="External"/><Relationship Id="rId108" Type="http://schemas.openxmlformats.org/officeDocument/2006/relationships/hyperlink" Target="https://research.ebsco.com/c/fcl55w/search/details/nizcxv4qzz?db=e000xww%2Cnlebk%2Cagp%2Cofm%2Cddu&amp;limiters=DT1%3A2014-11-27%2F2024-11-27&amp;q=Taste%20of%20Control%20%3A%20Food%20and%20the%20Filipino%20Colonial%20Mentality%20Under%20American%20Rule" TargetMode="External"/><Relationship Id="rId54" Type="http://schemas.openxmlformats.org/officeDocument/2006/relationships/hyperlink" Target="https://research.ebsco.com/c/fcl55w/search/details/4s3rp7elov?db=e000xww%2Cnlebk%2Cagp%2Cofm%2Cddu&amp;limiters=DT1%3A2019-11-26%2F2024-11-26&amp;q=Impact%20of%20Climate%20Change%20on%20Livestock" TargetMode="External"/><Relationship Id="rId70" Type="http://schemas.openxmlformats.org/officeDocument/2006/relationships/hyperlink" Target="https://research.ebsco.com/c/fcl55w/search/details/vmy7uybgpz?db=e000xww%2Cnlebk%2Cagp%2Cofm%2Cddu&amp;limiters=DT1%3A2019-11-26%2F2024-11-26&amp;q=Dance" TargetMode="External"/><Relationship Id="rId75" Type="http://schemas.openxmlformats.org/officeDocument/2006/relationships/hyperlink" Target="https://research.ebsco.com/c/fcl55w/search/details/t3e2sufatv?db=e000xww%2Cnlebk%2Cagp%2Cofm%2Cddu&amp;limiters=DT1%3A2019-11-26%2F2024-11-26&amp;q=Organic%20Chemistry" TargetMode="External"/><Relationship Id="rId91" Type="http://schemas.openxmlformats.org/officeDocument/2006/relationships/hyperlink" Target="https://research.ebsco.com/c/fcl55w/search/details/lsxl4tpcrj?db=e000xww%2Cnlebk%2Cagp%2Cofm%2Cddu&amp;limiters=DT1%3A2019-11-26%2F2024-11-26&amp;q=Basics%20of%20Environmental%20Science%20and%20Engineering" TargetMode="External"/><Relationship Id="rId96" Type="http://schemas.openxmlformats.org/officeDocument/2006/relationships/hyperlink" Target="https://research.ebsco.com/c/fcl55w/search/details/cp5kj6h75b?db=e000xww%2Cnlebk%2Cagp%2Cofm%2Cddu&amp;limiters=None&amp;q=Sustainable%20Soil%20Fertility%20Management" TargetMode="External"/><Relationship Id="rId1" Type="http://schemas.openxmlformats.org/officeDocument/2006/relationships/hyperlink" Target="javascript:__doLinkPostBack('','ss~~AR%20%22Michael%20C.%20Hawkins%22%7C%7Csl~~rl','');" TargetMode="External"/><Relationship Id="rId6" Type="http://schemas.openxmlformats.org/officeDocument/2006/relationships/hyperlink" Target="javascript:__doLinkPostBack('','ss~~AR%20%22Dale%20Carnegie%20%26%20Associates%22%7C%7Csl~~rl','');" TargetMode="External"/><Relationship Id="rId15" Type="http://schemas.openxmlformats.org/officeDocument/2006/relationships/hyperlink" Target="https://research.ebsco.com/c/fcl55w/search/details/4r3t5rppjv?db=e000xww%2Cnlebk%2Cagp%2Cofm%2Cddu&amp;limiters=DT1%3A2019-11-26%2F2024-11-26&amp;q=introduction%20to%20computer%20science%20and%20technology" TargetMode="External"/><Relationship Id="rId23" Type="http://schemas.openxmlformats.org/officeDocument/2006/relationships/hyperlink" Target="https://research.ebsco.com/c/fcl55w/search/details/trqk276z3b?db=e000xww%2Cnlebk%2Cagp%2Cofm%2Cddu&amp;limiters=DT1%3A2014-11-26%2F2024-11-26&amp;q=The%20Future%20of%20the%20Self%20%3A%20Understanding%20Personalization%20in%20Childhood%20and%20Beyond" TargetMode="External"/><Relationship Id="rId28" Type="http://schemas.openxmlformats.org/officeDocument/2006/relationships/hyperlink" Target="https://research.ebsco.com/c/fcl55w/search/details/yc3q45odkn?db=e000xww%2Cnlebk%2Cagp%2Cofm%2Cddu&amp;limiters=DT1%3A2019-11-26%2F2024-11-26%2CFT%3AY&amp;q=Ethics%20of%20Care%3A%20Values%2C%20Virtues%20and%20Dialogue" TargetMode="External"/><Relationship Id="rId36" Type="http://schemas.openxmlformats.org/officeDocument/2006/relationships/hyperlink" Target="https://research.ebsco.com/c/fcl55w/search/details/oscrnxd2j5?db=e000xww%2Cnlebk%2Cagp%2Cofm%2Cddu&amp;limiters=DT1%3A2014-11-26%2F2024-11-26&amp;q=Colleen%20Woods" TargetMode="External"/><Relationship Id="rId49" Type="http://schemas.openxmlformats.org/officeDocument/2006/relationships/hyperlink" Target="https://research.ebsco.com/c/fcl55w/search/details/evvptxfxb5?db=e000xww%2Cnlebk%2Cagp%2Cofm%2Cddu&amp;limiters=DT1%3A2014-11-26%2F2024-11-26&amp;q=Agroforestry%3A%20Systems%20and%20Prospects" TargetMode="External"/><Relationship Id="rId57" Type="http://schemas.openxmlformats.org/officeDocument/2006/relationships/hyperlink" Target="https://research.ebsco.com/c/fcl55w/search/details/bo2dvyoh7j?db=e000xww%2Cnlebk%2Cagp%2Cofm%2Cddu&amp;limiters=DT1%3A2019-11-26%2F2024-11-26&amp;q=Precision%20Farming" TargetMode="External"/><Relationship Id="rId106" Type="http://schemas.openxmlformats.org/officeDocument/2006/relationships/hyperlink" Target="https://research.ebsco.com/c/fcl55w/search/details/icu4luhcy5?db=e000xww%2Cnlebk%2Cagp%2Cofm%2Cddu&amp;limiters=DT1%3A2014-11-27%2F2024-11-27&amp;q=Semi-Civilized%20%3A%20The%20Moro%20Village%20at%20the%20Louisiana%20Purchase%20Exposition" TargetMode="External"/><Relationship Id="rId114" Type="http://schemas.openxmlformats.org/officeDocument/2006/relationships/drawing" Target="../drawings/drawing2.xml"/><Relationship Id="rId10" Type="http://schemas.openxmlformats.org/officeDocument/2006/relationships/hyperlink" Target="javascript:__doLinkPostBack('','ss~~AR%20%22ARUN%20KUMAR%20TOMAR%22%7C%7Csl~~rl','');" TargetMode="External"/><Relationship Id="rId31" Type="http://schemas.openxmlformats.org/officeDocument/2006/relationships/hyperlink" Target="https://research.ebsco.com/c/fcl55w/search/details/b4v2h3mitf?db=e000xww%2Cnlebk%2Cagp%2Cofm%2Cddu&amp;limiters=DT1%3A2014-11-26%2F2024-11-26&amp;q=Practices%20of%20Oral%20Performance%20in%20Manuals%20of%20Rhetoric%2C%20Journalism%20and%20Autobiography" TargetMode="External"/><Relationship Id="rId44" Type="http://schemas.openxmlformats.org/officeDocument/2006/relationships/hyperlink" Target="https://research.ebsco.com/c/fcl55w/search/details/4eelarfmkr?db=e000xww%2Cnlebk%2Cagp%2Cofm%2Cddu&amp;limiters=DT1%3A2014-11-26%2F2024-11-26&amp;q=The%20Politics%20of%20Perception" TargetMode="External"/><Relationship Id="rId52" Type="http://schemas.openxmlformats.org/officeDocument/2006/relationships/hyperlink" Target="https://research.ebsco.com/c/fcl55w/search/details/qt5bek3upb?db=e000xww%2Cnlebk%2Cagp%2Cofm%2Cddu&amp;limiters=DT1%3A2019-11-26%2F2024-11-26&amp;q=Diseases%20of%20Field%20Crops" TargetMode="External"/><Relationship Id="rId60" Type="http://schemas.openxmlformats.org/officeDocument/2006/relationships/hyperlink" Target="https://research.ebsco.com/c/fcl55w/search/details/4r3t5rppjv?db=e000xww%2Cnlebk%2Cagp%2Cofm%2Cddu&amp;limiters=DT1%3A2019-11-26%2F2024-11-26&amp;q=Introduction%20to%20Computer%20Science%20" TargetMode="External"/><Relationship Id="rId65" Type="http://schemas.openxmlformats.org/officeDocument/2006/relationships/hyperlink" Target="https://research.ebsco.com/c/fcl55w/search/details/325557pcyf?db=e000xww%2Cnlebk%2Cagp%2Cofm%2Cddu&amp;limiters=DT1%3A2019-11-26%2F2024-11-26&amp;q=Mechanical%20Drawing" TargetMode="External"/><Relationship Id="rId73" Type="http://schemas.openxmlformats.org/officeDocument/2006/relationships/hyperlink" Target="https://research.ebsco.com/c/fcl55w/search/details/vrbp4idwg5?db=e000xww%2Cnlebk%2Cagp%2Cofm%2Cddu&amp;limiters=DT1%3A2019-11-26%2F2024-11-26&amp;q=Organic%20Chemistry" TargetMode="External"/><Relationship Id="rId78" Type="http://schemas.openxmlformats.org/officeDocument/2006/relationships/hyperlink" Target="https://research.ebsco.com/c/fcl55w/search/details/mzkwj6m6f5?db=e000xww%2Cnlebk%2Cagp%2Cofm%2Cddu&amp;limiters=DT1%3A2019-11-26%2F2024-11-26&amp;q=sociology" TargetMode="External"/><Relationship Id="rId81" Type="http://schemas.openxmlformats.org/officeDocument/2006/relationships/hyperlink" Target="https://research.ebsco.com/c/fcl55w/search/details/ukepk6e7cb?db=e000xww%2Cnlebk%2Cagp%2Cofm%2Cddu&amp;limiters=DT1%3A2019-11-26%2F2024-11-26&amp;q=Fundamentals%20of%20Agriculture%20Statistics" TargetMode="External"/><Relationship Id="rId86" Type="http://schemas.openxmlformats.org/officeDocument/2006/relationships/hyperlink" Target="https://research.ebsco.com/c/fcl55w/search/details/pd3ui5ntnj?db=e000xww%2Cnlebk%2Cagp%2Cofm%2Cddu&amp;limiters=DT1%3A2019-11-26%2F2024-11-26&amp;q=Plant%20Stress%20Physiology" TargetMode="External"/><Relationship Id="rId94" Type="http://schemas.openxmlformats.org/officeDocument/2006/relationships/hyperlink" Target="https://research.ebsco.com/c/fcl55w/search/details/hx5s7jzdjz?db=e000xww%2Cnlebk%2Cagp%2Cofm%2Cddu&amp;limiters=DT1%3A2019-11-26%2F2024-11-26&amp;q=Sachin%20Tyagi" TargetMode="External"/><Relationship Id="rId99" Type="http://schemas.openxmlformats.org/officeDocument/2006/relationships/hyperlink" Target="https://research.ebsco.com/c/fcl55w/search/details/mbhgx3yewb?db=e000xww%2Cnlebk%2Cagp%2Cofm%2Cddu&amp;limiters=DT1%3A2019-11-27%2F2024-11-27&amp;q=Soil%20and%20Water%20Conservation" TargetMode="External"/><Relationship Id="rId101" Type="http://schemas.openxmlformats.org/officeDocument/2006/relationships/hyperlink" Target="https://research.ebsco.com/c/fcl55w/search/details/evvptxfxb5?db=e000xww%2Cnlebk%2Cagp%2Cofm%2Cddu&amp;limiters=DT1%3A2019-11-27%2F2024-11-27&amp;q=Agroforestry%20System" TargetMode="External"/><Relationship Id="rId4" Type="http://schemas.openxmlformats.org/officeDocument/2006/relationships/hyperlink" Target="javascript:__doLinkPostBack('','ss~~AR%20%22Brian%20Besong%22%7C%7Csl~~rl','');" TargetMode="External"/><Relationship Id="rId9" Type="http://schemas.openxmlformats.org/officeDocument/2006/relationships/hyperlink" Target="javascript:__doLinkPostBack('','ss~~AR%20%22Dale%20Carnegie%22%7C%7Csl~~rl','');" TargetMode="External"/><Relationship Id="rId13" Type="http://schemas.openxmlformats.org/officeDocument/2006/relationships/hyperlink" Target="javascript:__doLinkPostBack('','ss~~AR%20%22John%20Eric%20Goff%22%7C%7Csl~~rl','');" TargetMode="External"/><Relationship Id="rId18" Type="http://schemas.openxmlformats.org/officeDocument/2006/relationships/hyperlink" Target="https://research.ebsco.com/c/fcl55w/search/details/53l7by4ldz?db=e000xww%2Cnlebk%2Cagp%2Cofm%2Cddu&amp;limiters=DT1%3A2014-11-26%2F2024-11-26&amp;q=Emerging%20Technologies%20in%20Agriculture%20and%20Food%20Science" TargetMode="External"/><Relationship Id="rId39" Type="http://schemas.openxmlformats.org/officeDocument/2006/relationships/hyperlink" Target="https://research.ebsco.com/c/fcl55w/search/details/ad2dpxvo3n?db=e000xww%2Cnlebk%2Cagp%2Cofm%2Cddu&amp;limiters=DT1%3A2014-11-26%2F2024-11-26&amp;q=Bartosz%20Prabucki" TargetMode="External"/><Relationship Id="rId109" Type="http://schemas.openxmlformats.org/officeDocument/2006/relationships/hyperlink" Target="https://research.ebsco.com/c/fcl55w/search/details/s7gkzwo7sb?db=e000xww%2Cnlebk%2Cagp%2Cofm%2Cddu&amp;limiters=DT1%3A2014-11-27%2F2024-11-27&amp;q=The%20Physics%20of%20Krav%20Maga" TargetMode="External"/><Relationship Id="rId34" Type="http://schemas.openxmlformats.org/officeDocument/2006/relationships/hyperlink" Target="https://research.ebsco.com/c/fcl55w/search/details/icu4luhcy5?db=e000xww%2Cnlebk%2Cagp%2Cofm%2Cddu&amp;limiters=DT1%3A2014-11-26%2F2024-11-26&amp;q=Semi-Civilized%20%3A%20The%20Moro%20Village%20at%20the%20Louisiana%20Purchase%20Exposition" TargetMode="External"/><Relationship Id="rId50" Type="http://schemas.openxmlformats.org/officeDocument/2006/relationships/hyperlink" Target="https://research.ebsco.com/c/fcl55w/search/details/hpxhzkavtf?db=e000xww%2Cnlebk%2Cagp%2Cofm%2Cddu&amp;limiters=DT1%3A2014-11-26%2F2024-11-26&amp;q=Natural%20Feed%20Additives%20used%20in%20Poultry%20Industry" TargetMode="External"/><Relationship Id="rId55" Type="http://schemas.openxmlformats.org/officeDocument/2006/relationships/hyperlink" Target="https://research.ebsco.com/c/fcl55w/search/details/2x2kkjlglr?db=e000xww%2Cnlebk%2Cagp%2Cofm%2Cddu&amp;limiters=DT1%3A2019-11-26%2F2024-11-26&amp;q=Animal%20Welfare%20and%20Management" TargetMode="External"/><Relationship Id="rId76" Type="http://schemas.openxmlformats.org/officeDocument/2006/relationships/hyperlink" Target="https://research.ebsco.com/c/fcl55w/search/details/c75dulf2vv?db=e000xww%2Cnlebk%2Cagp%2Cofm%2Cddu&amp;limiters=DT1%3A2019-11-26%2F2024-11-26&amp;q=nanotechnology%20in%20Soil%20Science" TargetMode="External"/><Relationship Id="rId97" Type="http://schemas.openxmlformats.org/officeDocument/2006/relationships/hyperlink" Target="https://research.ebsco.com/c/fcl55w/search/details/uvo6mehvjf?db=e000xww%2Cnlebk%2Cagp%2Cofm%2Cddu&amp;limiters=None&amp;q=Water%20Resources%20Management%3A%20Methods%2C%20Applications%20and%20Challenges" TargetMode="External"/><Relationship Id="rId104" Type="http://schemas.openxmlformats.org/officeDocument/2006/relationships/hyperlink" Target="https://research.ebsco.com/c/fcl55w/search/details/cew55yiogv?db=e000xww%2Cnlebk%2Cagp%2Cofm%2Cddu&amp;limiters=DT1%3A2019-11-27%2F2024-11-27&amp;q=Doubling%20Farmers%20Income%20Through%20Appropriate%20Agricultural%20Technologies%20and%20Extension%20Approaches" TargetMode="External"/><Relationship Id="rId7" Type="http://schemas.openxmlformats.org/officeDocument/2006/relationships/hyperlink" Target="javascript:__doLinkPostBack('','ss~~AR%20%22Stovall%2C%20Jim%22%7C%7Csl~~rl','');" TargetMode="External"/><Relationship Id="rId71" Type="http://schemas.openxmlformats.org/officeDocument/2006/relationships/hyperlink" Target="https://research.ebsco.com/c/fcl55w/search/details/odzffhhu6b?db=e000xww%2Cnlebk%2Cagp%2Cofm%2Cddu&amp;limiters=DT1%3A2019-11-26%2F2024-11-26&amp;q=Dance" TargetMode="External"/><Relationship Id="rId92" Type="http://schemas.openxmlformats.org/officeDocument/2006/relationships/hyperlink" Target="https://research.ebsco.com/c/fcl55w/search/details/vcqlk5aoq5?db=e000xww%2Cnlebk%2Cagp%2Cofm%2Cddu&amp;limiters=DT1%3A2019-11-26%2F2024-11-26&amp;q=Environmental%20Science" TargetMode="External"/><Relationship Id="rId2" Type="http://schemas.openxmlformats.org/officeDocument/2006/relationships/hyperlink" Target="javascript:__doLinkPostBack('','ss~~AR%20%22Ren%C3%A9%20Alexander%20D.%20Orquiza%22%7C%7Csl~~rl','');" TargetMode="External"/><Relationship Id="rId29" Type="http://schemas.openxmlformats.org/officeDocument/2006/relationships/hyperlink" Target="https://research.ebsco.com/c/fcl55w/search/details/ibvfvwn74n?db=e000xww%2Cnlebk%2Cagp%2Cofm%2Cddu&amp;limiters=DT1%3A2019-11-26%2F2024-11-26%2CFT%3AY&amp;q=Human%20Resources%20Management%20and%20Ethics%3A%20Responsibilities%2C%20Actions%2C%20Issues%2C%20and%20Experiences" TargetMode="External"/><Relationship Id="rId24" Type="http://schemas.openxmlformats.org/officeDocument/2006/relationships/hyperlink" Target="https://research.ebsco.com/c/fcl55w/search/details/tlmvcuctwr?db=e000xww%2Cnlebk%2Cagp%2Cofm%2Cddu&amp;limiters=DT1%3A2014-11-26%2F2024-11-26&amp;q=I%20Am%20What%20I%20Become%3A%20Constructing%20Identities%20As%20a%20Lifelong%20Learners" TargetMode="External"/><Relationship Id="rId40" Type="http://schemas.openxmlformats.org/officeDocument/2006/relationships/hyperlink" Target="https://research.ebsco.com/c/fcl55w/search/details/k6rxynxj55?db=e000xww%2Cnlebk%2Cagp%2Cofm%2Cddu&amp;limiters=DT1%3A2014-11-26%2F2024-11-26&amp;q=Contemporary%20Arab%20World" TargetMode="External"/><Relationship Id="rId45" Type="http://schemas.openxmlformats.org/officeDocument/2006/relationships/hyperlink" Target="https://research.ebsco.com/c/fcl55w/search/details/7fdvd5smej?db=e000xww%2Cnlebk%2Cagp%2Cofm%2Cddu&amp;limiters=DT1%3A2014-11-26%2F2024-11-26&amp;q=african%20american%20arts" TargetMode="External"/><Relationship Id="rId66" Type="http://schemas.openxmlformats.org/officeDocument/2006/relationships/hyperlink" Target="https://research.ebsco.com/c/fcl55w/search/details/v4fptfxhsv?db=e000xww%2Cnlebk%2Cagp%2Cofm%2Cddu&amp;limiters=DT1%3A2019-11-26%2F2024-11-26&amp;q=Mechanical%20Drawing" TargetMode="External"/><Relationship Id="rId87" Type="http://schemas.openxmlformats.org/officeDocument/2006/relationships/hyperlink" Target="https://research.ebsco.com/c/fcl55w/search/details/eiddlaidzr?db=e000xww%2Cnlebk%2Cagp%2Cofm%2Cddu&amp;limiters=DT1%3A2019-11-26%2F2024-11-26&amp;q=Plant%20Physiology" TargetMode="External"/><Relationship Id="rId110" Type="http://schemas.openxmlformats.org/officeDocument/2006/relationships/hyperlink" Target="https://research.ebsco.com/c/fcl55w/search/details/r3ms73vuv5?db=e000xww%2Cnlebk%2Cagp%2Cofm%2Cddu&amp;limiters=DT1%3A2014-11-27%2F2024-11-27&amp;q=Controversies%20in%20the%20Contemporary%20World" TargetMode="External"/><Relationship Id="rId61" Type="http://schemas.openxmlformats.org/officeDocument/2006/relationships/hyperlink" Target="https://research.ebsco.com/c/fcl55w/search/details/enoqtiknzb?db=e000xww%2Cnlebk%2Cagp%2Cofm%2Cddu&amp;limiters=DT1%3A2019-11-26%2F2024-11-26&amp;q=An%20introduction%20to%20Chemistry" TargetMode="External"/><Relationship Id="rId82" Type="http://schemas.openxmlformats.org/officeDocument/2006/relationships/hyperlink" Target="https://research.ebsco.com/c/fcl55w/search/details/pdba4wh7sr?db=e000xww%2Cnlebk%2Cagp%2Cofm%2Cddu&amp;limiters=DT1%3A2019-11-26%2F2024-11-26&amp;q=Essential%20Topics%20in%20Basketball" TargetMode="External"/><Relationship Id="rId19" Type="http://schemas.openxmlformats.org/officeDocument/2006/relationships/hyperlink" Target="https://research.ebsco.com/c/fcl55w/search/details/pcibxxp4fz?db=e000xww%2Cnlebk%2Cagp%2Cofm%2Cddu&amp;limiters=DT1%3A2014-11-26%2F2024-11-26&amp;q=Mathematics%20As%20the%20Science%20of%20Patterns%3A%20Making%20the%20Invisible%20Visible%20to%20Students%20Through%20Teaching" TargetMode="External"/><Relationship Id="rId14" Type="http://schemas.openxmlformats.org/officeDocument/2006/relationships/hyperlink" Target="https://research.ebsco.com/c/fcl55w/search/details/vmau5yes5r?db=e000xww%2Cnlebk%2Cagp%2Cofm%2Cddu&amp;limiters=DT1%3A2019-11-26%2F2024-11-26&amp;q=internet%20of%20everything" TargetMode="External"/><Relationship Id="rId30" Type="http://schemas.openxmlformats.org/officeDocument/2006/relationships/hyperlink" Target="https://research.ebsco.com/c/fcl55w/search/details/cueawxxydj?db=e000xww%2Cnlebk%2Cagp%2Cofm%2Cddu&amp;limiters=DT1%3A2014-11-26%2F2024-11-26&amp;q=Crystal%20Clear%C2%A0Communication%C2%A0%3A%20How%20to%20Explain%20Anything%20Clearly%20in%20Speech%20or%20Writing" TargetMode="External"/><Relationship Id="rId35" Type="http://schemas.openxmlformats.org/officeDocument/2006/relationships/hyperlink" Target="https://research.ebsco.com/c/fcl55w/search/details/nizcxv4qzz?db=e000xww%2Cnlebk%2Cagp%2Cofm%2Cddu&amp;limiters=DT1%3A2014-11-26%2F2024-11-26&amp;q=Taste%20of%20Control%20%3A%20Food%20and%20the%20Filipino%20Colonial%20Mentality%20Under%20American%20Rule" TargetMode="External"/><Relationship Id="rId56" Type="http://schemas.openxmlformats.org/officeDocument/2006/relationships/hyperlink" Target="https://research.ebsco.com/c/fcl55w/search/details/wjrd4r5non?db=e000xww%2Cnlebk%2Cagp%2Cofm%2Cddu&amp;limiters=DT1%3A2019-11-26%2F2024-11-26&amp;q=Ornamental%20Horticulture" TargetMode="External"/><Relationship Id="rId77" Type="http://schemas.openxmlformats.org/officeDocument/2006/relationships/hyperlink" Target="https://research.ebsco.com/c/fcl55w/search/details/7kpzz27crz?db=e000xww%2Cnlebk%2Cagp%2Cofm%2Cddu&amp;limiters=DT1%3A2019-11-26%2F2024-11-26&amp;q=Soil%20Science" TargetMode="External"/><Relationship Id="rId100" Type="http://schemas.openxmlformats.org/officeDocument/2006/relationships/hyperlink" Target="https://research.ebsco.com/c/fcl55w/search/details/4cvbgg4lt5?db=e000xww%2Cnlebk%2Cagp%2Cofm%2Cddu&amp;limiters=DT1%3A2019-11-27%2F2024-11-27&amp;q=Agroforestry%20System" TargetMode="External"/><Relationship Id="rId105" Type="http://schemas.openxmlformats.org/officeDocument/2006/relationships/hyperlink" Target="https://research.ebsco.com/c/fcl55w/search/details/cueawxxydj?db=e000xww%2Cnlebk%2Cagp%2Cofm%2Cddu&amp;limiters=DT1%3A2014-11-27%2F2024-11-27&amp;q=Crystal%20Clear%C2%A0Communication%C2%A0%3A%20How%20to%20Explain%20Anything%20Clearly%20in%20Speech%20or%20Writing" TargetMode="External"/><Relationship Id="rId8" Type="http://schemas.openxmlformats.org/officeDocument/2006/relationships/hyperlink" Target="javascript:__doLinkPostBack('','ss~~AR%20%22Topher%20Morrison%22%7C%7Csl~~rl','');" TargetMode="External"/><Relationship Id="rId51" Type="http://schemas.openxmlformats.org/officeDocument/2006/relationships/hyperlink" Target="https://research.ebsco.com/c/fcl55w/search/details/sixtvqnzh5?db=e000xww%2Cnlebk%2Cagp%2Cofm%2Cddu&amp;limiters=DT1%3A2014-11-26%2F2024-11-26&amp;q=animal%20science" TargetMode="External"/><Relationship Id="rId72" Type="http://schemas.openxmlformats.org/officeDocument/2006/relationships/hyperlink" Target="https://research.ebsco.com/c/fcl55w/search/details/5zksepqkun?db=e000xww%2Cnlebk%2Cagp%2Cofm%2Cddu&amp;limiters=DT1%3A2019-11-26%2F2024-11-26&amp;q=Basic%20Organic%20Chemistry" TargetMode="External"/><Relationship Id="rId93" Type="http://schemas.openxmlformats.org/officeDocument/2006/relationships/hyperlink" Target="https://research.ebsco.com/c/fcl55w/search/details/2zvgxkm5en?db=e000xww%2Cnlebk%2Cagp%2Cofm%2Cddu&amp;limiters=DT1%3A2019-11-26%2F2024-11-26&amp;q=Environmental%20Science" TargetMode="External"/><Relationship Id="rId98" Type="http://schemas.openxmlformats.org/officeDocument/2006/relationships/hyperlink" Target="https://research.ebsco.com/c/fcl55w/search/details/rdsvsy66hb?db=e000xww%2Cnlebk%2Cagp%2Cofm%2Cddu&amp;limiters=DT1%3A2019-11-27%2F2024-11-27&amp;q=Soil%20and%20Water%20Conservation" TargetMode="External"/><Relationship Id="rId3" Type="http://schemas.openxmlformats.org/officeDocument/2006/relationships/hyperlink" Target="javascript:__doLinkPostBack('','ss~~AR%20%22Soko%CC%81%C5%82%2C%20Jan%22%7C%7Csl~~rl','');" TargetMode="External"/><Relationship Id="rId25" Type="http://schemas.openxmlformats.org/officeDocument/2006/relationships/hyperlink" Target="https://research.ebsco.com/c/fcl55w/search/details/rv5f7puqsz?db=e000xww%2Cnlebk%2Cagp%2Cofm%2Cddu&amp;limiters=DT1%3A2014-11-26%2F2024-11-26&amp;q=Thriving%20with%20Stone%20Age%20Minds%20%3A%20Evolutionary%20Psychology%2C%20Christian%20Faith%2C%20and%20the%20Quest%20for%20Human%20Flourishing" TargetMode="External"/><Relationship Id="rId46" Type="http://schemas.openxmlformats.org/officeDocument/2006/relationships/hyperlink" Target="https://research.ebsco.com/c/fcl55w/search/details/lrw3co7p35?db=e000xww%2Cnlebk%2Cagp%2Cofm%2Cddu&amp;limiters=DT1%3A2014-11-26%2F2024-11-26&amp;q=The%20City%20in%20Time" TargetMode="External"/><Relationship Id="rId67" Type="http://schemas.openxmlformats.org/officeDocument/2006/relationships/hyperlink" Target="https://research.ebsco.com/c/fcl55w/search/details/xjozq7vmyn?db=e000xww%2Cnlebk%2Cagp%2Cofm%2Cddu&amp;limiters=DT1%3A2019-11-26%2F2024-11-26&amp;q=Entrepreneurship%20and%20Behavioral%20Strategy" TargetMode="External"/><Relationship Id="rId20" Type="http://schemas.openxmlformats.org/officeDocument/2006/relationships/hyperlink" Target="https://research.ebsco.com/c/fcl55w/search/details/oq6o7kk3zz?db=e000xww%2Cnlebk%2Cagp%2Cofm%2Cddu&amp;limiters=DT1%3A2014-11-26%2F2024-11-26&amp;q=International%20Perspectives%20on%20Mathematics%20Teacher%20Education" TargetMode="External"/><Relationship Id="rId41" Type="http://schemas.openxmlformats.org/officeDocument/2006/relationships/hyperlink" Target="https://research.ebsco.com/c/fcl55w/search/details/gtebhsfpb5?db=e000xww%2Cnlebk%2Cagp%2Cofm%2Cddu&amp;limiters=DT1%3A2014-11-26%2F2024-11-26&amp;q=African%20Politics%20" TargetMode="External"/><Relationship Id="rId62" Type="http://schemas.openxmlformats.org/officeDocument/2006/relationships/hyperlink" Target="https://research.ebsco.com/c/fcl55w/search/details/v6n2dnl3df?db=e000xww%2Cnlebk%2Cagp%2Cofm%2Cddu&amp;limiters=DT1%3A2019-11-26%2F2024-11-26&amp;q=Inorganic" TargetMode="External"/><Relationship Id="rId83" Type="http://schemas.openxmlformats.org/officeDocument/2006/relationships/hyperlink" Target="https://research.ebsco.com/c/fcl55w/search/details/vi7hhklqjv?db=e000xww%2Cnlebk%2Cagp%2Cofm%2Cddu&amp;limiters=DT1%3A2019-11-26%2F2024-11-26&amp;q=Integrated%20Pest%20Management" TargetMode="External"/><Relationship Id="rId88" Type="http://schemas.openxmlformats.org/officeDocument/2006/relationships/hyperlink" Target="https://research.ebsco.com/c/fcl55w/search/details/cgknres5nn?db=e000xww%2Cnlebk%2Cagp%2Cofm%2Cddu&amp;limiters=DT1%3A2019-11-26%2F2024-11-26&amp;q=Plant%20Physiology" TargetMode="External"/><Relationship Id="rId111" Type="http://schemas.openxmlformats.org/officeDocument/2006/relationships/hyperlink" Target="https://research.ebsco.com/c/fcl55w/search/details/7fkvluaopb?db=e000xww%2Cnlebk%2Cagp%2Cofm%2Cddu&amp;limiters=DT1%3A2014-11-27%2F2024-11-27&amp;q=Breeding%20of%20Fruit%20Crops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research.ebsco.com/c/fcl55w/search/details/vr3a7gkmln?db=e000xww%2Cnlebk%2Cagp%2Cofm%2Cddu&amp;limiters=None&amp;q=Applications%20of%20Psychometrics" TargetMode="External"/><Relationship Id="rId21" Type="http://schemas.openxmlformats.org/officeDocument/2006/relationships/hyperlink" Target="javascript:__doLinkPostBack('','ss~~AR%20%22Ren%C3%A9%20Alexander%20D.%20Orquiza%22%7C%7Csl~~rl','');" TargetMode="External"/><Relationship Id="rId42" Type="http://schemas.openxmlformats.org/officeDocument/2006/relationships/hyperlink" Target="https://research.ebsco.com/c/fcl55w/search/details/lrw3co7p35?db=e000xww%2Cnlebk%2Cagp%2Cofm%2Cddu&amp;limiters=DT1%3A2014-11-26%2F2024-11-26&amp;q=The%20City%20in%20Time" TargetMode="External"/><Relationship Id="rId63" Type="http://schemas.openxmlformats.org/officeDocument/2006/relationships/hyperlink" Target="https://research.ebsco.com/c/fcl55w/search/details/vmy7uybgpz?db=e000xww%2Cnlebk%2Cagp%2Cofm%2Cddu&amp;limiters=DT1%3A2019-11-26%2F2024-11-26&amp;q=Dance" TargetMode="External"/><Relationship Id="rId84" Type="http://schemas.openxmlformats.org/officeDocument/2006/relationships/hyperlink" Target="https://research.ebsco.com/c/fcl55w/search/details/vcqlk5aoq5?db=e000xww%2Cnlebk%2Cagp%2Cofm%2Cddu&amp;limiters=DT1%3A2019-11-26%2F2024-11-26&amp;q=Environmental%20Science" TargetMode="External"/><Relationship Id="rId138" Type="http://schemas.openxmlformats.org/officeDocument/2006/relationships/hyperlink" Target="https://research.ebsco.com/c/fcl55w/search/details/msfa5seu4f?db=e000xww%2Cnlebk%2Cagp%2Cofm%2Cddu&amp;limiters=DT1%3A2019-12-03%2F2024-12-03&amp;q=Sustainable%20Natural%20Resource%20Management%20in%20the%20Himalayan%20Region%3A%20Livelihood%20and%20Climate%20Change" TargetMode="External"/><Relationship Id="rId159" Type="http://schemas.openxmlformats.org/officeDocument/2006/relationships/hyperlink" Target="https://research.ebsco.com/c/fcl55w/search/details/wtcql6rrgn?db=e000xww%2Cnlebk%2Cagp%2Cofm%2Cddu&amp;limiters=DT1%3A2019-12-03%2F2024-12-03&amp;q=Theory%20and%20Method%20in%20Higher%20Education%20Research" TargetMode="External"/><Relationship Id="rId170" Type="http://schemas.openxmlformats.org/officeDocument/2006/relationships/hyperlink" Target="https://research.ebsco.com/c/fcl55w/search/details/msfa5seu4f?db=e000xww%2Cnlebk%2Cagp%2Cofm%2Cddu&amp;limiters=DT1%3A2019-12-03%2F2024-12-03&amp;q=Sustainable%20Natural%20Resource%20Management%20in%20the%20Himalayan%20Region%3A%20Livelihood%20and%20Climate%20Change" TargetMode="External"/><Relationship Id="rId107" Type="http://schemas.openxmlformats.org/officeDocument/2006/relationships/hyperlink" Target="https://research.ebsco.com/c/fcl55w/search/details/xs7nw5egvz?db=e000xww%2Cnlebk%2Cagp%2Cofm%2Cddu&amp;limiters=None&amp;q=War%20and%20Resistance%20in%20the%20Philippines" TargetMode="External"/><Relationship Id="rId11" Type="http://schemas.openxmlformats.org/officeDocument/2006/relationships/hyperlink" Target="https://research.ebsco.com/c/fcl55w/search/details/tlmvcuctwr?db=e000xww%2Cnlebk%2Cagp%2Cofm%2Cddu&amp;limiters=DT1%3A2014-11-26%2F2024-11-26&amp;q=I%20Am%20What%20I%20Become%3A%20Constructing%20Identities%20As%20a%20Lifelong%20Learners" TargetMode="External"/><Relationship Id="rId32" Type="http://schemas.openxmlformats.org/officeDocument/2006/relationships/hyperlink" Target="javascript:__doLinkPostBack('','ss~~AR%20%22John%20Eric%20Goff%22%7C%7Csl~~rl','');" TargetMode="External"/><Relationship Id="rId53" Type="http://schemas.openxmlformats.org/officeDocument/2006/relationships/hyperlink" Target="https://research.ebsco.com/c/fcl55w/search/details/bo2dvyoh7j?db=e000xww%2Cnlebk%2Cagp%2Cofm%2Cddu&amp;limiters=DT1%3A2019-11-26%2F2024-11-26&amp;q=Precision%20Farming" TargetMode="External"/><Relationship Id="rId74" Type="http://schemas.openxmlformats.org/officeDocument/2006/relationships/hyperlink" Target="https://research.ebsco.com/c/fcl55w/search/details/ypkfrm6chz?db=e000xww%2Cnlebk%2Cagp%2Cofm%2Cddu&amp;limiters=DT1%3A2014-11-27%2F2024-11-27&amp;q=Essential%20Topics%20in%20Tennis%20and%20Volleyball" TargetMode="External"/><Relationship Id="rId128" Type="http://schemas.openxmlformats.org/officeDocument/2006/relationships/hyperlink" Target="https://research.ebsco.com/c/fcl55w/search/details/am37gnrlvz?db=e000xww%2Cnlebk%2Cagp%2Cofm%2Cddu&amp;limiters=DT1%3A2019-11-28%2F2024-11-28&amp;q=Technology%20and%20Theology%5C" TargetMode="External"/><Relationship Id="rId149" Type="http://schemas.openxmlformats.org/officeDocument/2006/relationships/hyperlink" Target="https://research.ebsco.com/c/fcl55w/search/details/hlexuusij5?db=e000xww%2Cnlebk%2Cagp%2Cofm%2Cddu&amp;limiters=DT1%3A2019-12-03%2F2024-12-03&amp;q=Integrated%20Farming%20System%20Practices%3A%20Challenges%20and%20Opportunities" TargetMode="External"/><Relationship Id="rId5" Type="http://schemas.openxmlformats.org/officeDocument/2006/relationships/hyperlink" Target="https://research.ebsco.com/c/fcl55w/search/details/53l7by4ldz?db=e000xww%2Cnlebk%2Cagp%2Cofm%2Cddu&amp;limiters=DT1%3A2014-11-26%2F2024-11-26&amp;q=Emerging%20Technologies%20in%20Agriculture%20and%20Food%20Science" TargetMode="External"/><Relationship Id="rId95" Type="http://schemas.openxmlformats.org/officeDocument/2006/relationships/hyperlink" Target="https://research.ebsco.com/c/fcl55w/search/details/sttye73uo5?db=e000xww%2Cnlebk%2Cagp%2Cofm%2Cddu&amp;limiters=DT1%3A2019-11-27%2F2024-11-27&amp;q=ICTs%20for%20Agricultural%20Extension%3A%20Global%20Experiments%2CInnovations%20and%20Experiences" TargetMode="External"/><Relationship Id="rId160" Type="http://schemas.openxmlformats.org/officeDocument/2006/relationships/hyperlink" Target="https://research.ebsco.com/c/fcl55w/search/details/kp3uj3chib?db=e000xww%2Cnlebk%2Cagp%2Cofm%2Cddu&amp;limiters=DT1%3A2019-12-03%2F2024-12-03&amp;q=Extension%20Strategies%20for%20Doubling%20Farmer%20Income" TargetMode="External"/><Relationship Id="rId22" Type="http://schemas.openxmlformats.org/officeDocument/2006/relationships/hyperlink" Target="https://research.ebsco.com/c/fcl55w/search/details/oscrnxd2j5?db=e000xww%2Cnlebk%2Cagp%2Cofm%2Cddu&amp;limiters=DT1%3A2014-11-26%2F2024-11-26&amp;q=Freedom%20Incorporated%20%3A%20Anticommunism%20and%C2%A0Philippine%C2%A0Independence%20in%20the%20Age%20of%20Decolonization" TargetMode="External"/><Relationship Id="rId43" Type="http://schemas.openxmlformats.org/officeDocument/2006/relationships/hyperlink" Target="https://research.ebsco.com/c/fcl55w/search/details/4eelarfmkr?db=e000xww%2Cnlebk%2Cagp%2Cofm%2Cddu&amp;limiters=DT1%3A2014-11-26%2F2024-11-26&amp;q=The%20Politics%20of%20Perception" TargetMode="External"/><Relationship Id="rId64" Type="http://schemas.openxmlformats.org/officeDocument/2006/relationships/hyperlink" Target="https://research.ebsco.com/c/fcl55w/search/details/5zksepqkun?db=e000xww%2Cnlebk%2Cagp%2Cofm%2Cddu&amp;limiters=DT1%3A2019-11-26%2F2024-11-26&amp;q=Basic%20Organic%20Chemistry" TargetMode="External"/><Relationship Id="rId118" Type="http://schemas.openxmlformats.org/officeDocument/2006/relationships/hyperlink" Target="https://research.ebsco.com/c/fcl55w/search/details/wachzuphhv?db=e000xww%2Cnlebk%2Cagp%2Cofm%2Cddu&amp;limiters=None&amp;q=Sports%20impact%20of%20the%20pandemic" TargetMode="External"/><Relationship Id="rId139" Type="http://schemas.openxmlformats.org/officeDocument/2006/relationships/hyperlink" Target="https://research.ebsco.com/c/fcl55w/search/details/opq7in4rjf?db=e000xww%2Cnlebk%2Cagp%2Cofm%2Cddu&amp;limiters=DT1%3A2019-12-03%2F2024-12-03&amp;q=Systematic%20Approach%20to%20Agroforestry%20Policies%20and%20Practices%20in%20Asia" TargetMode="External"/><Relationship Id="rId85" Type="http://schemas.openxmlformats.org/officeDocument/2006/relationships/hyperlink" Target="https://research.ebsco.com/c/fcl55w/search/details/2zvgxkm5en?db=e000xww%2Cnlebk%2Cagp%2Cofm%2Cddu&amp;limiters=DT1%3A2019-11-26%2F2024-11-26&amp;q=Environmental%20Science" TargetMode="External"/><Relationship Id="rId150" Type="http://schemas.openxmlformats.org/officeDocument/2006/relationships/hyperlink" Target="https://research.ebsco.com/c/fcl55w/search/details/m2ckghspnf?db=e000xww,nlebk,agp,ofm,ddu&amp;limiters=DT1:2019-11-26/2024-11-26&amp;q=Entrepreneurship%20as%20Empowerment" TargetMode="External"/><Relationship Id="rId171" Type="http://schemas.openxmlformats.org/officeDocument/2006/relationships/hyperlink" Target="https://research.ebsco.com/c/fcl55w/search/details/odzffhhu6b?db=e000xww%2Cnlebk%2Cagp%2Cofm%2Cddu&amp;limiters=DT1%3A2019-11-26%2F2024-11-26&amp;q=Dance" TargetMode="External"/><Relationship Id="rId12" Type="http://schemas.openxmlformats.org/officeDocument/2006/relationships/hyperlink" Target="https://research.ebsco.com/c/fcl55w/search/details/rv5f7puqsz?db=e000xww%2Cnlebk%2Cagp%2Cofm%2Cddu&amp;limiters=DT1%3A2014-11-26%2F2024-11-26&amp;q=Thriving%20with%20Stone%20Age%20Minds%20%3A%20Evolutionary%20Psychology%2C%20Christian%20Faith%2C%20and%20the%20Quest%20for%20Human%20Flourishing" TargetMode="External"/><Relationship Id="rId33" Type="http://schemas.openxmlformats.org/officeDocument/2006/relationships/hyperlink" Target="https://research.ebsco.com/c/fcl55w/search/details/s7gkzwo7sb?db=e000xww%2Cnlebk%2Cagp%2Cofm%2Cddu&amp;limiters=DT1%3A2014-11-27%2F2024-11-27&amp;q=The%20Physics%20of%20Krav%20Maga" TargetMode="External"/><Relationship Id="rId108" Type="http://schemas.openxmlformats.org/officeDocument/2006/relationships/hyperlink" Target="https://research.ebsco.com/c/fcl55w/search/details/hynyvg3s65?db=e000xww%2Cnlebk%2Cagp%2Cofm%2Cddu&amp;limiters=None&amp;q=Communal%20Intimacy" TargetMode="External"/><Relationship Id="rId129" Type="http://schemas.openxmlformats.org/officeDocument/2006/relationships/hyperlink" Target="https://research.ebsco.com/c/fcl55w/search/details/vnda7l4tof?db=e000xww%2Cnlebk%2Cagp%2Cofm%2Cddu&amp;limiters=DT1%3A2019-11-28%2F2024-11-28&amp;q=Fundamentals%20of%20Information" TargetMode="External"/><Relationship Id="rId54" Type="http://schemas.openxmlformats.org/officeDocument/2006/relationships/hyperlink" Target="https://research.ebsco.com/c/fcl55w/search/details/v5jmqonps5?db=e000xww%2Cnlebk%2Cagp%2Cofm%2Cddu&amp;limiters=DT1%3A2019-11-26%2F2024-11-26&amp;q=Computer%20Science%20and%20Multimedia%20Technologies" TargetMode="External"/><Relationship Id="rId75" Type="http://schemas.openxmlformats.org/officeDocument/2006/relationships/hyperlink" Target="https://research.ebsco.com/c/fcl55w/search/details/vi7hhklqjv?db=e000xww%2Cnlebk%2Cagp%2Cofm%2Cddu&amp;limiters=DT1%3A2019-11-26%2F2024-11-26&amp;q=Integrated%20Pest%20Management" TargetMode="External"/><Relationship Id="rId96" Type="http://schemas.openxmlformats.org/officeDocument/2006/relationships/hyperlink" Target="https://research.ebsco.com/c/fcl55w/search/details/votwk5dtnz?db=e000xww%2Cnlebk%2Cagp%2Cofm%2Cddu&amp;limiters=DT1%3A2019-11-27%2F2024-11-27&amp;q=Mobile%20Phones%20for%20Agricultural%20Extension" TargetMode="External"/><Relationship Id="rId140" Type="http://schemas.openxmlformats.org/officeDocument/2006/relationships/hyperlink" Target="https://research.ebsco.com/c/fcl55w/search/details/ekycl7hb4z?db=e000xww%2Cnlebk%2Cagp%2Cofm%2Cddu&amp;limiters=DT1%3A2019-12-03%2F2024-12-03&amp;q=Lives%20of%20Weeds%20%3A%20Opportunism%2C%20Resistance%2C%20Folly" TargetMode="External"/><Relationship Id="rId161" Type="http://schemas.openxmlformats.org/officeDocument/2006/relationships/hyperlink" Target="https://research.ebsco.com/c/fcl55w/search/details/eihlghxcr5?db=e000xww%2Cnlebk%2Cagp%2Cofm%2Cddu&amp;limiters=DT1%3A2019-12-03%2F2024-12-03&amp;q=Handbook%20of%20Environmental%20Impact%20Assessment%3A%20Concepts%20and%20Practice" TargetMode="External"/><Relationship Id="rId1" Type="http://schemas.openxmlformats.org/officeDocument/2006/relationships/hyperlink" Target="https://research.ebsco.com/c/fcl55w/search/details/vmau5yes5r?db=e000xww%2Cnlebk%2Cagp%2Cofm%2Cddu&amp;limiters=DT1%3A2019-11-26%2F2024-11-26&amp;q=internet%20of%20everything" TargetMode="External"/><Relationship Id="rId6" Type="http://schemas.openxmlformats.org/officeDocument/2006/relationships/hyperlink" Target="https://research.ebsco.com/c/fcl55w/search/details/pcibxxp4fz?db=e000xww%2Cnlebk%2Cagp%2Cofm%2Cddu&amp;limiters=DT1%3A2014-11-26%2F2024-11-26&amp;q=Mathematics%20As%20the%20Science%20of%20Patterns%3A%20Making%20the%20Invisible%20Visible%20to%20Students%20Through%20Teaching" TargetMode="External"/><Relationship Id="rId23" Type="http://schemas.openxmlformats.org/officeDocument/2006/relationships/hyperlink" Target="https://research.ebsco.com/c/fcl55w/search/details/icu4luhcy5?db=e000xww%2Cnlebk%2Cagp%2Cofm%2Cddu&amp;limiters=DT1%3A2014-11-26%2F2024-11-26&amp;q=Semi-Civilized%20%3A%20The%20Moro%20Village%20at%20the%20Louisiana%20Purchase%20Exposition" TargetMode="External"/><Relationship Id="rId28" Type="http://schemas.openxmlformats.org/officeDocument/2006/relationships/hyperlink" Target="https://research.ebsco.com/c/fcl55w/search/details/icu4luhcy5?db=e000xww%2Cnlebk%2Cagp%2Cofm%2Cddu&amp;limiters=DT1%3A2014-11-27%2F2024-11-27&amp;q=Semi-Civilized%20%3A%20The%20Moro%20Village%20at%20the%20Louisiana%20Purchase%20Exposition" TargetMode="External"/><Relationship Id="rId49" Type="http://schemas.openxmlformats.org/officeDocument/2006/relationships/hyperlink" Target="https://research.ebsco.com/c/fcl55w/search/details/cmtmkw5eer?db=e000xww%2Cnlebk%2Cagp%2Cofm%2Cddu&amp;limiters=DT1%3A2019-11-26%2F2024-11-26&amp;q=Technology%20for%20Environmentally" TargetMode="External"/><Relationship Id="rId114" Type="http://schemas.openxmlformats.org/officeDocument/2006/relationships/hyperlink" Target="https://research.ebsco.com/c/fcl55w/search/details/lmue2cih2v?db=e000xww%2Cnlebk%2Cagp%2Cofm%2Cddu&amp;limiters=None&amp;q=Everything%20Moves" TargetMode="External"/><Relationship Id="rId119" Type="http://schemas.openxmlformats.org/officeDocument/2006/relationships/hyperlink" Target="https://research.ebsco.com/c/fcl55w/search/details/2hoysimnuz?db=e000xww%2Cnlebk%2Cagp%2Cofm%2Cddu&amp;limiters=None&amp;q=Sports%20and%20Aging" TargetMode="External"/><Relationship Id="rId44" Type="http://schemas.openxmlformats.org/officeDocument/2006/relationships/hyperlink" Target="https://research.ebsco.com/c/fcl55w/search/details/4cvbgg4lt5?db=e000xww%2Cnlebk%2Cagp%2Cofm%2Cddu&amp;limiters=DT1%3A2014-11-26%2F2024-11-26&amp;q=Agroforestry%3A%20Systems%20and%20Practices" TargetMode="External"/><Relationship Id="rId60" Type="http://schemas.openxmlformats.org/officeDocument/2006/relationships/hyperlink" Target="https://research.ebsco.com/c/fcl55w/search/details/6wxn3pwqsv?db=e000xww%2Cnlebk%2Cagp%2Cofm%2Cddu&amp;limiters=DT1%3A2019-11-26%2F2024-11-26&amp;q=Mechanical%20Drawing" TargetMode="External"/><Relationship Id="rId65" Type="http://schemas.openxmlformats.org/officeDocument/2006/relationships/hyperlink" Target="https://research.ebsco.com/c/fcl55w/search/details/vrbp4idwg5?db=e000xww%2Cnlebk%2Cagp%2Cofm%2Cddu&amp;limiters=DT1%3A2019-11-26%2F2024-11-26&amp;q=Organic%20Chemistry" TargetMode="External"/><Relationship Id="rId81" Type="http://schemas.openxmlformats.org/officeDocument/2006/relationships/hyperlink" Target="https://research.ebsco.com/c/fcl55w/search/details/esuaq3ypyf?db=e000xww%2Cnlebk%2Cagp%2Cofm%2Cddu&amp;limiters=DT1%3A2019-11-26%2F2024-11-26&amp;q=The%20Life%20of%20Plants%20in%20a%20Changing%20Environment" TargetMode="External"/><Relationship Id="rId86" Type="http://schemas.openxmlformats.org/officeDocument/2006/relationships/hyperlink" Target="https://research.ebsco.com/c/fcl55w/search/details/hx5s7jzdjz?db=e000xww%2Cnlebk%2Cagp%2Cofm%2Cddu&amp;limiters=DT1%3A2019-11-26%2F2024-11-26&amp;q=Sachin%20Tyagi" TargetMode="External"/><Relationship Id="rId130" Type="http://schemas.openxmlformats.org/officeDocument/2006/relationships/hyperlink" Target="https://research.ebsco.com/c/fcl55w/search/details/itkzy5fo3r?db=e000xww%2Cnlebk%2Cagp%2Cofm%2Cddu&amp;limiters=None&amp;q=The%20Entrepreneurs%3A%20The%20Relentless%20Quest%20for%20Value" TargetMode="External"/><Relationship Id="rId135" Type="http://schemas.openxmlformats.org/officeDocument/2006/relationships/hyperlink" Target="https://research.ebsco.com/c/fcl55w/search/details/53l7by4ldz?db=e000xww%2Cnlebk%2Cagp%2Cofm%2Cddu&amp;limiters=DT1%3A2019-12-03%2F2024-12-03&amp;q=emerging%20technologies%20in%20Agriculture" TargetMode="External"/><Relationship Id="rId151" Type="http://schemas.openxmlformats.org/officeDocument/2006/relationships/hyperlink" Target="https://research.ebsco.com/c/fcl55w/search/details/3624pvjpnn?db=e000xww,nlebk,agp,ofm,ddu&amp;limiters=DT1:2019-11-26/2024-11-26&amp;q=Sustainable%20Entrepreneurship" TargetMode="External"/><Relationship Id="rId156" Type="http://schemas.openxmlformats.org/officeDocument/2006/relationships/hyperlink" Target="https://research.ebsco.com/c/fcl55w/search/details/qsdxmrzfkf?db=e000xww%2Cnlebk%2Cagp%2Cofm%2Cddu&amp;limiters=DT1%3A2019-12-03%2F2024-12-03&amp;q=AgTech%3A%20an%20Introduction" TargetMode="External"/><Relationship Id="rId172" Type="http://schemas.openxmlformats.org/officeDocument/2006/relationships/printerSettings" Target="../printerSettings/printerSettings3.bin"/><Relationship Id="rId13" Type="http://schemas.openxmlformats.org/officeDocument/2006/relationships/hyperlink" Target="https://research.ebsco.com/c/fcl55w/search/details/ebayfiqmxz?db=e000xww%2Cnlebk%2Cagp%2Cofm%2Cddu&amp;limiters=DT1%3A2014-11-26%2F2024-11-26&amp;q=Families%20and%20Family%20Values%20in%20Society%20and%20Culture." TargetMode="External"/><Relationship Id="rId18" Type="http://schemas.openxmlformats.org/officeDocument/2006/relationships/hyperlink" Target="https://research.ebsco.com/c/fcl55w/search/details/dsrjubpz6v?db=e000xww%2Cnlebk%2Cagp%2Cofm%2Cddu&amp;limiters=DT1%3A2014-11-26%2F2024-11-26&amp;q=Teaching%20and%20Assessing%20Intercultural%20Communicative%20Competence%3A%20Revisited" TargetMode="External"/><Relationship Id="rId39" Type="http://schemas.openxmlformats.org/officeDocument/2006/relationships/hyperlink" Target="https://research.ebsco.com/c/fcl55w/search/details/lrw3co7p35?db=e000xww%2Cnlebk%2Cagp%2Cofm%2Cddu&amp;limiters=DT1%3A2014-11-26%2F2024-11-26&amp;q=The%20City%20in%20Time" TargetMode="External"/><Relationship Id="rId109" Type="http://schemas.openxmlformats.org/officeDocument/2006/relationships/hyperlink" Target="https://research.ebsco.com/c/fcl55w/search/details/wlxh7joyzf?db=e000xww%2Cnlebk%2Cagp%2Cofm%2Cddu&amp;limiters=None&amp;q=Art%20%2B%20Archive" TargetMode="External"/><Relationship Id="rId34" Type="http://schemas.openxmlformats.org/officeDocument/2006/relationships/hyperlink" Target="https://research.ebsco.com/c/fcl55w/search/details/ad2dpxvo3n?db=e000xww%2Cnlebk%2Cagp%2Cofm%2Cddu&amp;limiters=DT1%3A2014-11-26%2F2024-11-26&amp;q=Bartosz%20Prabucki" TargetMode="External"/><Relationship Id="rId50" Type="http://schemas.openxmlformats.org/officeDocument/2006/relationships/hyperlink" Target="https://research.ebsco.com/c/fcl55w/search/details/4s3rp7elov?db=e000xww%2Cnlebk%2Cagp%2Cofm%2Cddu&amp;limiters=DT1%3A2019-11-26%2F2024-11-26&amp;q=Impact%20of%20Climate%20Change%20on%20Livestock" TargetMode="External"/><Relationship Id="rId55" Type="http://schemas.openxmlformats.org/officeDocument/2006/relationships/hyperlink" Target="https://research.ebsco.com/c/fcl55w/search/details/m6n63iaiyr?db=e000xww%2Cnlebk%2Cagp%2Cofm%2Cddu&amp;limiters=DT1%3A2019-11-26%2F2024-11-26&amp;q=Foundations%20of%20Computer%20Science" TargetMode="External"/><Relationship Id="rId76" Type="http://schemas.openxmlformats.org/officeDocument/2006/relationships/hyperlink" Target="https://research.ebsco.com/c/fcl55w/search/details/racnzqzlgj?db=e000xww%2Cnlebk%2Cagp%2Cofm%2Cddu&amp;limiters=DT1%3A2019-11-26%2F2024-11-26&amp;q=Ecologically%20-%20based" TargetMode="External"/><Relationship Id="rId97" Type="http://schemas.openxmlformats.org/officeDocument/2006/relationships/hyperlink" Target="https://research.ebsco.com/c/fcl55w/search/details/cew55yiogv?db=e000xww%2Cnlebk%2Cagp%2Cofm%2Cddu&amp;limiters=DT1%3A2019-11-27%2F2024-11-27&amp;q=Doubling%20Farmers%20Income%20Through%20Appropriate%20Agricultural%20Technologies%20and%20Extension%20Approaches" TargetMode="External"/><Relationship Id="rId104" Type="http://schemas.openxmlformats.org/officeDocument/2006/relationships/hyperlink" Target="https://research.ebsco.com/c/fcl55w/search/details/pis7byueaj?db=e000xww%2Cnlebk%2Cagp%2Cofm%2Cddu&amp;limiters=None&amp;q=The%20Conservative%20Challenge" TargetMode="External"/><Relationship Id="rId120" Type="http://schemas.openxmlformats.org/officeDocument/2006/relationships/hyperlink" Target="https://research.ebsco.com/c/fcl55w/search/details/esuaq3ypyf?db=e000xww%2Cnlebk%2Cagp%2Cofm%2Cddu&amp;limiters=None&amp;q=The%20Life%20of%20Plants%20in%20a%20Changing%20Environment" TargetMode="External"/><Relationship Id="rId125" Type="http://schemas.openxmlformats.org/officeDocument/2006/relationships/hyperlink" Target="https://research.ebsco.com/c/fcl55w/search/details/uo6374jv2f?db=e000xww%2Cnlebk%2Cagp%2Cofm%2Cddu&amp;limiters=None&amp;q=The%20Anthropocene" TargetMode="External"/><Relationship Id="rId141" Type="http://schemas.openxmlformats.org/officeDocument/2006/relationships/hyperlink" Target="https://research.ebsco.com/c/fcl55w/search/details/usu23o7umv?db=e000xww%2Cnlebk%2Cagp%2Cofm%2Cddu&amp;limiters=DT1%3A2019-12-03%2F2024-12-03&amp;q=%09Soilborne%20Pathogens" TargetMode="External"/><Relationship Id="rId146" Type="http://schemas.openxmlformats.org/officeDocument/2006/relationships/hyperlink" Target="https://research.ebsco.com/c/fcl55w/search/details/naqxlub2dr?db=e000xww%2Cnlebk%2Cagp%2Cofm%2Cddu&amp;limiters=DT1%3A2019-12-03%2F2024-12-03&amp;q=%09Agricultural%20Economics" TargetMode="External"/><Relationship Id="rId167" Type="http://schemas.openxmlformats.org/officeDocument/2006/relationships/hyperlink" Target="https://research.ebsco.com/c/fcl55w/search/details/3jiuu7qaij?db=e000xww%2Cnlebk%2Cagp%2Cofm%2Cddu&amp;limiters=DT1%3A2019-12-03%2F2024-12-03&amp;q=Management%20Skills%20for%20Successful%20Agri%20Entrepreneurs%20" TargetMode="External"/><Relationship Id="rId7" Type="http://schemas.openxmlformats.org/officeDocument/2006/relationships/hyperlink" Target="https://research.ebsco.com/c/fcl55w/search/details/oq6o7kk3zz?db=e000xww%2Cnlebk%2Cagp%2Cofm%2Cddu&amp;limiters=DT1%3A2014-11-26%2F2024-11-26&amp;q=International%20Perspectives%20on%20Mathematics%20Teacher%20Education" TargetMode="External"/><Relationship Id="rId71" Type="http://schemas.openxmlformats.org/officeDocument/2006/relationships/hyperlink" Target="https://research.ebsco.com/c/fcl55w/search/details/rpwsl2gnbr?db=e000xww%2Cnlebk%2Cagp%2Cofm%2Cddu&amp;limiters=DT1%3A2019-11-26%2F2024-11-26&amp;q=sociology" TargetMode="External"/><Relationship Id="rId92" Type="http://schemas.openxmlformats.org/officeDocument/2006/relationships/hyperlink" Target="https://research.ebsco.com/c/fcl55w/search/details/mbhgx3yewb?db=e000xww%2Cnlebk%2Cagp%2Cofm%2Cddu&amp;limiters=DT1%3A2019-11-27%2F2024-11-27&amp;q=Soil%20and%20Water%20Conservation" TargetMode="External"/><Relationship Id="rId162" Type="http://schemas.openxmlformats.org/officeDocument/2006/relationships/hyperlink" Target="https://research.ebsco.com/c/fcl55w/search/details/gpwbarqaa5?db=e000xww%2Cnlebk%2Cagp%2Cofm%2Cddu&amp;limiters=DT1%3A2019-12-03%2F2024-12-03&amp;q=Environmental%20Impact%20Assessment" TargetMode="External"/><Relationship Id="rId2" Type="http://schemas.openxmlformats.org/officeDocument/2006/relationships/hyperlink" Target="https://research.ebsco.com/c/fcl55w/search/details/4r3t5rppjv?db=e000xww%2Cnlebk%2Cagp%2Cofm%2Cddu&amp;limiters=DT1%3A2019-11-26%2F2024-11-26&amp;q=introduction%20to%20computer%20science%20and%20technology" TargetMode="External"/><Relationship Id="rId29" Type="http://schemas.openxmlformats.org/officeDocument/2006/relationships/hyperlink" Target="https://research.ebsco.com/c/fcl55w/search/details/oscrnxd2j5?db=e000xww%2Cnlebk%2Cagp%2Cofm%2Cddu&amp;limiters=DT1%3A2014-11-27%2F2024-11-27&amp;q=Freedom%20Incorporated%20%3A%20Anticommunism%20and%C2%A0Philippine%C2%A0Independence%20in%20the%20Age%20of%20Decolonization" TargetMode="External"/><Relationship Id="rId24" Type="http://schemas.openxmlformats.org/officeDocument/2006/relationships/hyperlink" Target="https://research.ebsco.com/c/fcl55w/search/details/nizcxv4qzz?db=e000xww%2Cnlebk%2Cagp%2Cofm%2Cddu&amp;limiters=DT1%3A2014-11-26%2F2024-11-26&amp;q=Taste%20of%20Control%20%3A%20Food%20and%20the%20Filipino%20Colonial%20Mentality%20Under%20American%20Rule" TargetMode="External"/><Relationship Id="rId40" Type="http://schemas.openxmlformats.org/officeDocument/2006/relationships/hyperlink" Target="https://research.ebsco.com/c/fcl55w/search/details/4eelarfmkr?db=e000xww%2Cnlebk%2Cagp%2Cofm%2Cddu&amp;limiters=DT1%3A2014-11-26%2F2024-11-26&amp;q=The%20Politics%20of%20Perception" TargetMode="External"/><Relationship Id="rId45" Type="http://schemas.openxmlformats.org/officeDocument/2006/relationships/hyperlink" Target="https://research.ebsco.com/c/fcl55w/search/details/evvptxfxb5?db=e000xww%2Cnlebk%2Cagp%2Cofm%2Cddu&amp;limiters=DT1%3A2014-11-26%2F2024-11-26&amp;q=Agroforestry%3A%20Systems%20and%20Prospects" TargetMode="External"/><Relationship Id="rId66" Type="http://schemas.openxmlformats.org/officeDocument/2006/relationships/hyperlink" Target="https://research.ebsco.com/c/fcl55w/search/details/x6jv75llnf?db=e000xww%2Cnlebk%2Cagp%2Cofm%2Cddu&amp;limiters=DT1%3A2019-11-26%2F2024-11-26&amp;q=Organic%20Chemistry" TargetMode="External"/><Relationship Id="rId87" Type="http://schemas.openxmlformats.org/officeDocument/2006/relationships/hyperlink" Target="https://research.ebsco.com/c/fcl55w/search/details/kk65sjuafr?db=e000xww%2Cnlebk%2Cagp%2Cofm%2Cddu&amp;limiters=DT1%3A2019-11-26%2F2024-11-26&amp;q=nursery%20management" TargetMode="External"/><Relationship Id="rId110" Type="http://schemas.openxmlformats.org/officeDocument/2006/relationships/hyperlink" Target="https://research.ebsco.com/c/fcl55w/search/details/l3otdsf6uz?db=e000xww%2Cnlebk%2Cagp%2Cofm%2Cddu&amp;limiters=None&amp;q=Art%20in%20Dispute" TargetMode="External"/><Relationship Id="rId115" Type="http://schemas.openxmlformats.org/officeDocument/2006/relationships/hyperlink" Target="https://research.ebsco.com/c/fcl55w/search/details/3vmv7gxyg5?db=e000xww%2Cnlebk%2Cagp%2Cofm%2Cddu&amp;limiters=None&amp;q=Talking%20Bodies" TargetMode="External"/><Relationship Id="rId131" Type="http://schemas.openxmlformats.org/officeDocument/2006/relationships/hyperlink" Target="https://research.ebsco.com/c/fcl55w/search/details/yaytmgn5bb?db=e000xww%2Cnlebk%2Cagp%2Cofm%2Cddu&amp;limiters=None&amp;q=The%20SLP%20Entrepreneur%3A%20The%20Speech-Language%20Pathologist%E2%80%99s%20Guide%20to%20Private%20Practice%20and%20Other%20Business%20Ventures" TargetMode="External"/><Relationship Id="rId136" Type="http://schemas.openxmlformats.org/officeDocument/2006/relationships/hyperlink" Target="https://research.ebsco.com/c/fcl55w/search/details/2arwjftqpz?db=e000xww%2Cnlebk%2Cagp%2Cofm%2Cddu&amp;limiters=DT1%3A2019-12-03%2F2024-12-03&amp;q=A%20Future%20of%20Economics" TargetMode="External"/><Relationship Id="rId157" Type="http://schemas.openxmlformats.org/officeDocument/2006/relationships/hyperlink" Target="https://research.ebsco.com/c/fcl55w/search/details/i2mfc6riez?db=e000xww%2Cnlebk%2Cagp%2Cofm%2Cddu&amp;limiters=DT1%3A2019-12-03%2F2024-12-03&amp;q=Social%20Stratification%20in%20the%20United%20States%20%3A%20The%20American%20Profile%20Poster%20of%20Who%20Owns%20What%2C%20Who%20Makes%20How%20Much%2C%20and%20Who%20Works%20Where" TargetMode="External"/><Relationship Id="rId61" Type="http://schemas.openxmlformats.org/officeDocument/2006/relationships/hyperlink" Target="https://research.ebsco.com/c/fcl55w/search/details/325557pcyf?db=e000xww%2Cnlebk%2Cagp%2Cofm%2Cddu&amp;limiters=DT1%3A2019-11-26%2F2024-11-26&amp;q=Mechanical%20Drawing" TargetMode="External"/><Relationship Id="rId82" Type="http://schemas.openxmlformats.org/officeDocument/2006/relationships/hyperlink" Target="https://research.ebsco.com/c/fcl55w/search/details/msfa5seu4f?db=e000xww%2Cnlebk%2Cagp%2Cofm%2Cddu&amp;limiters=DT1%3A2019-11-26%2F2024-11-26&amp;q=Sustainable%20Natural%20Resource%20Management%20in%20the%20Himalayan%20Region%3A%20Livelihood%20and%20Climate%20Change" TargetMode="External"/><Relationship Id="rId152" Type="http://schemas.openxmlformats.org/officeDocument/2006/relationships/hyperlink" Target="https://research.ebsco.com/c/fcl55w/search/details/xjozq7vmyn?db=e000xww,nlebk,agp,ofm,ddu&amp;limiters=DT1:2019-11-26/2024-11-26&amp;q=Entrepreneurship%20and%20Behavioral%20Strategy" TargetMode="External"/><Relationship Id="rId173" Type="http://schemas.openxmlformats.org/officeDocument/2006/relationships/drawing" Target="../drawings/drawing3.xml"/><Relationship Id="rId19" Type="http://schemas.openxmlformats.org/officeDocument/2006/relationships/hyperlink" Target="https://research.ebsco.com/c/fcl55w/search/details/cueawxxydj?db=e000xww%2Cnlebk%2Cagp%2Cofm%2Cddu&amp;limiters=DT1%3A2014-11-26%2F2024-11-26&amp;q=Crystal%20Clear%C2%A0Communication%C2%A0%3A%20How%20to%20Explain%20Anything%20Clearly%20in%20Speech%20or%20Writing" TargetMode="External"/><Relationship Id="rId14" Type="http://schemas.openxmlformats.org/officeDocument/2006/relationships/hyperlink" Target="https://research.ebsco.com/c/fcl55w/search/details/wbdouavewj?db=e000xww%2Cnlebk%2Cagp%2Cofm%2Cddu&amp;limiters=DT1%3A2019-11-26%2F2024-11-26%2CFT%3AY&amp;q=Ethics%20in%20Action%20for%20Sustainable%20Development" TargetMode="External"/><Relationship Id="rId30" Type="http://schemas.openxmlformats.org/officeDocument/2006/relationships/hyperlink" Target="https://research.ebsco.com/c/fcl55w/search/details/nizcxv4qzz?db=e000xww%2Cnlebk%2Cagp%2Cofm%2Cddu&amp;limiters=DT1%3A2014-11-27%2F2024-11-27&amp;q=Taste%20of%20Control%20%3A%20Food%20and%20the%20Filipino%20Colonial%20Mentality%20Under%20American%20Rule" TargetMode="External"/><Relationship Id="rId35" Type="http://schemas.openxmlformats.org/officeDocument/2006/relationships/hyperlink" Target="https://research.ebsco.com/c/fcl55w/search/details/k6rxynxj55?db=e000xww%2Cnlebk%2Cagp%2Cofm%2Cddu&amp;limiters=DT1%3A2014-11-26%2F2024-11-26&amp;q=Contemporary%20Arab%20World" TargetMode="External"/><Relationship Id="rId56" Type="http://schemas.openxmlformats.org/officeDocument/2006/relationships/hyperlink" Target="https://research.ebsco.com/c/fcl55w/search/details/4r3t5rppjv?db=e000xww%2Cnlebk%2Cagp%2Cofm%2Cddu&amp;limiters=DT1%3A2019-11-26%2F2024-11-26&amp;q=Introduction%20to%20Computer%20Science%20" TargetMode="External"/><Relationship Id="rId77" Type="http://schemas.openxmlformats.org/officeDocument/2006/relationships/hyperlink" Target="https://research.ebsco.com/c/fcl55w/search/details/dqksmilvuf?db=e000xww%2Cnlebk%2Cagp%2Cofm%2Cddu&amp;limiters=DT1%3A2019-11-26%2F2024-11-26&amp;q=Environmental%20Stress%20" TargetMode="External"/><Relationship Id="rId100" Type="http://schemas.openxmlformats.org/officeDocument/2006/relationships/hyperlink" Target="https://research.ebsco.com/c/fcl55w/search/details/4glksasvov?db=e000xww%2Cnlebk%2Cagp%2Cofm%2Cddu&amp;limiters=None&amp;q=heterocyclic%20chemistry" TargetMode="External"/><Relationship Id="rId105" Type="http://schemas.openxmlformats.org/officeDocument/2006/relationships/hyperlink" Target="https://research.ebsco.com/c/fcl55w/search/details/ci35sgjyxr?db=e000xww%2Cnlebk%2Cagp%2Cofm%2Cddu&amp;limiters=None&amp;q=Introduction%20to%20trade" TargetMode="External"/><Relationship Id="rId126" Type="http://schemas.openxmlformats.org/officeDocument/2006/relationships/hyperlink" Target="https://research.ebsco.com/c/fcl55w/search/details/nebdeaxgyb?db=e000xww%2Cnlebk%2Cagp%2Cofm%2Cddu&amp;limiters=None&amp;q=Disaster%20RIsk%20Reduction%20Challenge" TargetMode="External"/><Relationship Id="rId147" Type="http://schemas.openxmlformats.org/officeDocument/2006/relationships/hyperlink" Target="https://research.ebsco.com/c/fcl55w/search/details/qoseu4hntv?db=e000xww%2Cnlebk%2Cagp%2Cofm%2Cddu&amp;limiters=DT1%3A2019-12-03%2F2024-12-03&amp;q=Economics%2CMarketing%20and%20Sales%20of%20Agricultural%20Products" TargetMode="External"/><Relationship Id="rId168" Type="http://schemas.openxmlformats.org/officeDocument/2006/relationships/hyperlink" Target="https://research.ebsco.com/c/fcl55w/search/details/qoseu4hntv?db=e000xww%2Cnlebk%2Cagp%2Cofm%2Cddu&amp;limiters=DT1%3A2019-12-03%2F2024-12-03&amp;q=Economics%2CMarketing%20and%20Sales%20of%20Agricultural%20Products" TargetMode="External"/><Relationship Id="rId8" Type="http://schemas.openxmlformats.org/officeDocument/2006/relationships/hyperlink" Target="https://research.ebsco.com/c/fcl55w/search/details/n3a64vrtoz?db=e000xww%2Cnlebk%2Cagp%2Cofm%2Cddu&amp;limiters=DT1%3A2014-11-26%2F2024-11-26&amp;q=Mathematics%20Education%20%3A%20History%20and%20Research" TargetMode="External"/><Relationship Id="rId51" Type="http://schemas.openxmlformats.org/officeDocument/2006/relationships/hyperlink" Target="https://research.ebsco.com/c/fcl55w/search/details/2x2kkjlglr?db=e000xww%2Cnlebk%2Cagp%2Cofm%2Cddu&amp;limiters=DT1%3A2019-11-26%2F2024-11-26&amp;q=Animal%20Welfare%20and%20Management" TargetMode="External"/><Relationship Id="rId72" Type="http://schemas.openxmlformats.org/officeDocument/2006/relationships/hyperlink" Target="https://research.ebsco.com/c/fcl55w/search/details/ukepk6e7cb?db=e000xww%2Cnlebk%2Cagp%2Cofm%2Cddu&amp;limiters=DT1%3A2019-11-26%2F2024-11-26&amp;q=Fundamentals%20of%20Agriculture%20Statistics" TargetMode="External"/><Relationship Id="rId93" Type="http://schemas.openxmlformats.org/officeDocument/2006/relationships/hyperlink" Target="https://research.ebsco.com/c/fcl55w/search/details/4cvbgg4lt5?db=e000xww%2Cnlebk%2Cagp%2Cofm%2Cddu&amp;limiters=DT1%3A2019-11-27%2F2024-11-27&amp;q=Agroforestry%20System" TargetMode="External"/><Relationship Id="rId98" Type="http://schemas.openxmlformats.org/officeDocument/2006/relationships/hyperlink" Target="https://research.ebsco.com/c/fcl55w/search/details/dotphgien5?db=e000xww%2Cnlebk%2Cagp%2Cofm%2Cddu&amp;limiters=DT1%3A2014-11-27%2F2024-11-27&amp;q=Agriculture%20and%20Industrial%20" TargetMode="External"/><Relationship Id="rId121" Type="http://schemas.openxmlformats.org/officeDocument/2006/relationships/hyperlink" Target="https://research.ebsco.com/c/fcl55w/search/details/b4v2h3mitf?db=e000xww%2Cnlebk%2Cagp%2Cofm%2Cddu&amp;limiters=None&amp;q=Practices%20of%20Oral%20Performance" TargetMode="External"/><Relationship Id="rId142" Type="http://schemas.openxmlformats.org/officeDocument/2006/relationships/hyperlink" Target="https://research.ebsco.com/c/fcl55w/search/details/vphjowsjjf?db=e000xww%2Cnlebk%2Cagp%2Cofm%2Cddu&amp;limiters=DT1%3A2019-12-03%2F2024-12-03&amp;q=The%20Ecology%20of%20the%20Trees%2C%20Shrubs%2C%20and%20Woody%20Vines%20of%20Northern%20Florida" TargetMode="External"/><Relationship Id="rId163" Type="http://schemas.openxmlformats.org/officeDocument/2006/relationships/hyperlink" Target="https://research.ebsco.com/c/fcl55w/search/details/i6ebhhgkkn?db=e000xww%2Cnlebk%2Cagp%2Cofm%2Cddu&amp;limiters=DT1%3A2019-12-03%2F2024-12-03&amp;q=Agroforestry%20for%20Sustainable%20Production%20and%20Resilient%20Landscapes" TargetMode="External"/><Relationship Id="rId3" Type="http://schemas.openxmlformats.org/officeDocument/2006/relationships/hyperlink" Target="https://research.ebsco.com/c/fcl55w/search/details/bwlseirzuz?db=e000xww%2Cnlebk%2Cagp%2Cofm%2Cddu&amp;limiters=DT1%3A2019-11-26%2F2024-11-26&amp;q=Broad%20exposure%20to%20science%20and%20technology" TargetMode="External"/><Relationship Id="rId25" Type="http://schemas.openxmlformats.org/officeDocument/2006/relationships/hyperlink" Target="https://research.ebsco.com/c/fcl55w/search/details/oscrnxd2j5?db=e000xww%2Cnlebk%2Cagp%2Cofm%2Cddu&amp;limiters=DT1%3A2014-11-26%2F2024-11-26&amp;q=Colleen%20Woods" TargetMode="External"/><Relationship Id="rId46" Type="http://schemas.openxmlformats.org/officeDocument/2006/relationships/hyperlink" Target="https://research.ebsco.com/c/fcl55w/search/details/hpxhzkavtf?db=e000xww%2Cnlebk%2Cagp%2Cofm%2Cddu&amp;limiters=DT1%3A2014-11-26%2F2024-11-26&amp;q=Natural%20Feed%20Additives%20used%20in%20Poultry%20Industry" TargetMode="External"/><Relationship Id="rId67" Type="http://schemas.openxmlformats.org/officeDocument/2006/relationships/hyperlink" Target="https://research.ebsco.com/c/fcl55w/search/details/t3e2sufatv?db=e000xww%2Cnlebk%2Cagp%2Cofm%2Cddu&amp;limiters=DT1%3A2019-11-26%2F2024-11-26&amp;q=Organic%20Chemistry" TargetMode="External"/><Relationship Id="rId116" Type="http://schemas.openxmlformats.org/officeDocument/2006/relationships/hyperlink" Target="https://research.ebsco.com/c/fcl55w/search/details/5b5dgw5stv?db=e000xww%2Cnlebk%2Cagp%2Cofm%2Cddu&amp;limiters=None&amp;q=Physical%20Kinetics" TargetMode="External"/><Relationship Id="rId137" Type="http://schemas.openxmlformats.org/officeDocument/2006/relationships/hyperlink" Target="https://research.ebsco.com/c/fcl55w/search/details/fxkwvjlcmj?db=e000xww%2Cnlebk%2Cagp%2Cofm%2Cddu&amp;limiters=DT1%3A2019-12-03%2F2024-12-03&amp;q=Reclaiming%20Economics" TargetMode="External"/><Relationship Id="rId158" Type="http://schemas.openxmlformats.org/officeDocument/2006/relationships/hyperlink" Target="https://research.ebsco.com/c/fcl55w/search/details/suic7l4ktz?db=e000xww%2Cnlebk%2Cagp%2Cofm%2Cddu&amp;limiters=DT1%3A2019-12-03%2F2024-12-03&amp;q=Information%20Systems%20for%20Management" TargetMode="External"/><Relationship Id="rId20" Type="http://schemas.openxmlformats.org/officeDocument/2006/relationships/hyperlink" Target="javascript:__doLinkPostBack('','ss~~AR%20%22Michael%20C.%20Hawkins%22%7C%7Csl~~rl','');" TargetMode="External"/><Relationship Id="rId41" Type="http://schemas.openxmlformats.org/officeDocument/2006/relationships/hyperlink" Target="https://research.ebsco.com/c/fcl55w/search/details/7fdvd5smej?db=e000xww%2Cnlebk%2Cagp%2Cofm%2Cddu&amp;limiters=DT1%3A2014-11-26%2F2024-11-26&amp;q=african%20american%20arts" TargetMode="External"/><Relationship Id="rId62" Type="http://schemas.openxmlformats.org/officeDocument/2006/relationships/hyperlink" Target="https://research.ebsco.com/c/fcl55w/search/details/v4fptfxhsv?db=e000xww%2Cnlebk%2Cagp%2Cofm%2Cddu&amp;limiters=DT1%3A2019-11-26%2F2024-11-26&amp;q=Mechanical%20Drawing" TargetMode="External"/><Relationship Id="rId83" Type="http://schemas.openxmlformats.org/officeDocument/2006/relationships/hyperlink" Target="https://research.ebsco.com/c/fcl55w/search/details/lsxl4tpcrj?db=e000xww%2Cnlebk%2Cagp%2Cofm%2Cddu&amp;limiters=DT1%3A2019-11-26%2F2024-11-26&amp;q=Basics%20of%20Environmental%20Science%20and%20Engineering" TargetMode="External"/><Relationship Id="rId88" Type="http://schemas.openxmlformats.org/officeDocument/2006/relationships/hyperlink" Target="https://research.ebsco.com/c/fcl55w/search/details/242qunny35?db=e000xww%2Cnlebk%2Cagp%2Cofm%2Cddu&amp;limiters=DT1%3A2014-11-27%2F2024-11-27&amp;q=Cloning%20in%20Plants%20%3A%20New%20Developments" TargetMode="External"/><Relationship Id="rId111" Type="http://schemas.openxmlformats.org/officeDocument/2006/relationships/hyperlink" Target="https://research.ebsco.com/c/fcl55w/search/details/a7ywnn6web?db=e000xww%2Cnlebk%2Cagp%2Cofm%2Cddu&amp;limiters=None&amp;q=Embodying%20Art" TargetMode="External"/><Relationship Id="rId132" Type="http://schemas.openxmlformats.org/officeDocument/2006/relationships/hyperlink" Target="https://research.ebsco.com/c/fcl55w/search/details/c75dulf2vv?db=e000xww%2Cnlebk%2Cagp%2Cofm%2Cddu&amp;limiters=None&amp;q=Nanotechnology%20in%20Soil%20Science%20and%20Plant%20Nutrition" TargetMode="External"/><Relationship Id="rId153" Type="http://schemas.openxmlformats.org/officeDocument/2006/relationships/hyperlink" Target="https://research.ebsco.com/c/fcl55w/search/details/uoypyvdtm5?db=e000xww,nlebk,agp,ofm,ddu&amp;limiters=DT1:2019-12-03/2024-12-03&amp;q=A%20Manual%20for%20the%20Identification%20of%20Plant%20Seeds%20and%20Fruits%20:%20Second%20Revised%20Edition" TargetMode="External"/><Relationship Id="rId15" Type="http://schemas.openxmlformats.org/officeDocument/2006/relationships/hyperlink" Target="https://research.ebsco.com/c/fcl55w/search/details/yc3q45odkn?db=e000xww%2Cnlebk%2Cagp%2Cofm%2Cddu&amp;limiters=DT1%3A2019-11-26%2F2024-11-26%2CFT%3AY&amp;q=Ethics%20of%20Care%3A%20Values%2C%20Virtues%20and%20Dialogue" TargetMode="External"/><Relationship Id="rId36" Type="http://schemas.openxmlformats.org/officeDocument/2006/relationships/hyperlink" Target="https://research.ebsco.com/c/fcl55w/search/details/gtebhsfpb5?db=e000xww%2Cnlebk%2Cagp%2Cofm%2Cddu&amp;limiters=DT1%3A2014-11-26%2F2024-11-26&amp;q=African%20Politics%20" TargetMode="External"/><Relationship Id="rId57" Type="http://schemas.openxmlformats.org/officeDocument/2006/relationships/hyperlink" Target="https://research.ebsco.com/c/fcl55w/search/details/enoqtiknzb?db=e000xww%2Cnlebk%2Cagp%2Cofm%2Cddu&amp;limiters=DT1%3A2019-11-26%2F2024-11-26&amp;q=An%20introduction%20to%20Chemistry" TargetMode="External"/><Relationship Id="rId106" Type="http://schemas.openxmlformats.org/officeDocument/2006/relationships/hyperlink" Target="https://research.ebsco.com/c/fcl55w/search/details/lpcmlbll6f?db=e000xww%2Cnlebk%2Cagp%2Cofm%2Cddu&amp;limiters=None&amp;q=Diasporic%20Cold%20Warriors" TargetMode="External"/><Relationship Id="rId127" Type="http://schemas.openxmlformats.org/officeDocument/2006/relationships/hyperlink" Target="https://research.ebsco.com/c/fcl55w/search/details/lz2amgyu6b?db=e000xww%2Cnlebk%2Cagp%2Cofm%2Cddu&amp;limiters=DT1%3A2019-11-28%2F2024-11-28&amp;q=Information%20and%20Computer%20Ethics" TargetMode="External"/><Relationship Id="rId10" Type="http://schemas.openxmlformats.org/officeDocument/2006/relationships/hyperlink" Target="https://research.ebsco.com/c/fcl55w/search/details/trqk276z3b?db=e000xww%2Cnlebk%2Cagp%2Cofm%2Cddu&amp;limiters=DT1%3A2014-11-26%2F2024-11-26&amp;q=The%20Future%20of%20the%20Self%20%3A%20Understanding%20Personalization%20in%20Childhood%20and%20Beyond" TargetMode="External"/><Relationship Id="rId31" Type="http://schemas.openxmlformats.org/officeDocument/2006/relationships/hyperlink" Target="https://research.ebsco.com/c/fcl55w/search/details/yu5ajjwwzr?db=e000xww%2Cnlebk%2Cagp%2Cofm%2Cddu&amp;limiters=DT1%3A2014-11-27%2F2024-11-27&amp;q=Scientific%20Writing%20%3D%20Thinking%20in%20Words" TargetMode="External"/><Relationship Id="rId52" Type="http://schemas.openxmlformats.org/officeDocument/2006/relationships/hyperlink" Target="https://research.ebsco.com/c/fcl55w/search/details/wjrd4r5non?db=e000xww%2Cnlebk%2Cagp%2Cofm%2Cddu&amp;limiters=DT1%3A2019-11-26%2F2024-11-26&amp;q=Ornamental%20Horticulture" TargetMode="External"/><Relationship Id="rId73" Type="http://schemas.openxmlformats.org/officeDocument/2006/relationships/hyperlink" Target="https://research.ebsco.com/c/fcl55w/search/details/pdba4wh7sr?db=e000xww%2Cnlebk%2Cagp%2Cofm%2Cddu&amp;limiters=DT1%3A2019-11-26%2F2024-11-26&amp;q=Essential%20Topics%20in%20Basketball" TargetMode="External"/><Relationship Id="rId78" Type="http://schemas.openxmlformats.org/officeDocument/2006/relationships/hyperlink" Target="https://research.ebsco.com/c/fcl55w/search/details/pd3ui5ntnj?db=e000xww%2Cnlebk%2Cagp%2Cofm%2Cddu&amp;limiters=DT1%3A2019-11-26%2F2024-11-26&amp;q=Plant%20Stress%20Physiology" TargetMode="External"/><Relationship Id="rId94" Type="http://schemas.openxmlformats.org/officeDocument/2006/relationships/hyperlink" Target="https://research.ebsco.com/c/fcl55w/search/details/evvptxfxb5?db=e000xww%2Cnlebk%2Cagp%2Cofm%2Cddu&amp;limiters=DT1%3A2019-11-27%2F2024-11-27&amp;q=Agroforestry%20System" TargetMode="External"/><Relationship Id="rId99" Type="http://schemas.openxmlformats.org/officeDocument/2006/relationships/hyperlink" Target="https://research.ebsco.com/c/fcl55w/search/details/s5zxsgbbdn?db=e000xww%2Cnlebk%2Cagp%2Cofm%2Cddu&amp;limiters=None&amp;q=Concise%20and%20Simplified" TargetMode="External"/><Relationship Id="rId101" Type="http://schemas.openxmlformats.org/officeDocument/2006/relationships/hyperlink" Target="https://research.ebsco.com/c/fcl55w/search/details/3xh4xjmjub?db=e000xww%2Cnlebk%2Cagp%2Cofm%2Cddu&amp;limiters=None&amp;q=biofuels" TargetMode="External"/><Relationship Id="rId122" Type="http://schemas.openxmlformats.org/officeDocument/2006/relationships/hyperlink" Target="https://research.ebsco.com/c/fcl55w/search/details/dsrjubpz6v?db=e000xww%2Cnlebk%2Cagp%2Cofm%2Cddu&amp;limiters=None&amp;q=Teaching%20and%20Assessing%20Intercultural" TargetMode="External"/><Relationship Id="rId143" Type="http://schemas.openxmlformats.org/officeDocument/2006/relationships/hyperlink" Target="https://research.ebsco.com/c/fcl55w/search/details/ze5yc7dfs5?db=e000xww%2Cnlebk%2Cagp%2Cofm%2Cddu&amp;limiters=DT1%3A2019-12-03%2F2024-12-03&amp;q=Principles%20and%20Methods%20in%20Plant%20Biology" TargetMode="External"/><Relationship Id="rId148" Type="http://schemas.openxmlformats.org/officeDocument/2006/relationships/hyperlink" Target="https://research.ebsco.com/c/fcl55w/search/details/a6v6qso33b?db=e000xww%2Cnlebk%2Cagp%2Cofm%2Cddu&amp;limiters=DT1%3A2019-12-03%2F2024-12-03&amp;q=Smallholder%20Farmers%20and%20Farming%20Practices%3A%20Challenges%20and%20Prospects" TargetMode="External"/><Relationship Id="rId164" Type="http://schemas.openxmlformats.org/officeDocument/2006/relationships/hyperlink" Target="https://research.ebsco.com/c/fcl55w/search/details/foo2ieiwh5?db=e000xww%2Cnlebk%2Cagp%2Cofm%2Cddu&amp;limiters=DT1%3A2019-12-03%2F2024-12-03&amp;q=Agroforestry%20Systems%20in%20Wine%20Production-Mitigating%20Climate%20Change%20in%20the%20Mosel%20Region" TargetMode="External"/><Relationship Id="rId169" Type="http://schemas.openxmlformats.org/officeDocument/2006/relationships/hyperlink" Target="https://research.ebsco.com/c/fcl55w/search/details/sbknedispb?db=e000xww%2Cnlebk%2Cagp%2Cofm%2Cddu&amp;limiters=DT1%3A2019-12-03%2F2024-12-03&amp;q=Ethics%20of%20Biodiversity%20Conservation%3A%20An%20Ecological%20Study" TargetMode="External"/><Relationship Id="rId4" Type="http://schemas.openxmlformats.org/officeDocument/2006/relationships/hyperlink" Target="https://research.ebsco.com/c/fcl55w/search/details/zgebqnzp4j?db=e000xww%2Cnlebk%2Cagp%2Cofm%2Cddu&amp;limiters=DT1%3A2014-11-26%2F2024-11-26&amp;q=Applications%20of%20Advanced%20Ceramics%20in%20Science%2C%20Technology%2C%20and%20Medicine" TargetMode="External"/><Relationship Id="rId9" Type="http://schemas.openxmlformats.org/officeDocument/2006/relationships/hyperlink" Target="https://research.ebsco.com/c/fcl55w/search/details/lkz4wrrblv?db=e000xww%2Cnlebk%2Cagp%2Cofm%2Cddu&amp;limiters=DT1%3A2014-11-26%2F2024-11-26&amp;q=The%20Evolved%C2%A0Self%C2%A0%3A%20Mapping%20an%C2%A0Understanding%C2%A0of%20Who%20We%20Are" TargetMode="External"/><Relationship Id="rId26" Type="http://schemas.openxmlformats.org/officeDocument/2006/relationships/hyperlink" Target="https://research.ebsco.com/c/fcl55w/search/details/p47e3pxmgn?db=e000xww%2Cnlebk%2Cagp%2Cofm%2Cddu&amp;limiters=DT1%3A2014-11-26%2F2024-11-26&amp;q=The%20History%20of%20the%20Philippines" TargetMode="External"/><Relationship Id="rId47" Type="http://schemas.openxmlformats.org/officeDocument/2006/relationships/hyperlink" Target="https://research.ebsco.com/c/fcl55w/search/details/qt5bek3upb?db=e000xww%2Cnlebk%2Cagp%2Cofm%2Cddu&amp;limiters=DT1%3A2019-11-26%2F2024-11-26&amp;q=Diseases%20of%20Field%20Crops" TargetMode="External"/><Relationship Id="rId68" Type="http://schemas.openxmlformats.org/officeDocument/2006/relationships/hyperlink" Target="https://research.ebsco.com/c/fcl55w/search/details/7kpzz27crz?db=e000xww%2Cnlebk%2Cagp%2Cofm%2Cddu&amp;limiters=DT1%3A2019-11-26%2F2024-11-26&amp;q=Soil%20Science" TargetMode="External"/><Relationship Id="rId89" Type="http://schemas.openxmlformats.org/officeDocument/2006/relationships/hyperlink" Target="https://research.ebsco.com/c/fcl55w/search/details/cp5kj6h75b?db=e000xww%2Cnlebk%2Cagp%2Cofm%2Cddu&amp;limiters=None&amp;q=Sustainable%20Soil%20Fertility%20Management" TargetMode="External"/><Relationship Id="rId112" Type="http://schemas.openxmlformats.org/officeDocument/2006/relationships/hyperlink" Target="https://research.ebsco.com/c/fcl55w/search/details/om523u6olb?db=e000xww%2Cnlebk%2Cagp%2Cofm%2Cddu&amp;limiters=None&amp;q=Art%20and%20Posthistory" TargetMode="External"/><Relationship Id="rId133" Type="http://schemas.openxmlformats.org/officeDocument/2006/relationships/hyperlink" Target="https://research.ebsco.com/c/fcl55w/search/details/ocsuwuoggr?db=e000xww%2Cnlebk%2Cagp%2Cofm%2Cddu&amp;limiters=None&amp;q=Applications%20of%20Geographic%20Information%20Systems%20for%20Wireless%20Network%20Planning" TargetMode="External"/><Relationship Id="rId154" Type="http://schemas.openxmlformats.org/officeDocument/2006/relationships/hyperlink" Target="https://research.ebsco.com/c/fcl55w/search/results?q=Unsaturated%20Soils:%20Behavior,%20Mechanics%20and%20Conditions&amp;autocorrect=y&amp;db=e000xww,nlebk,agp,ofm,ddu&amp;expanders=concept&amp;facetFilter=sourceTypes:NDMyQks=&amp;limiters=DT1:2014-11-27/2024-11-27&amp;resetPageNumber=true&amp;searchMode=boolean&amp;searchSegment=all-results" TargetMode="External"/><Relationship Id="rId16" Type="http://schemas.openxmlformats.org/officeDocument/2006/relationships/hyperlink" Target="https://research.ebsco.com/c/fcl55w/search/details/ibvfvwn74n?db=e000xww%2Cnlebk%2Cagp%2Cofm%2Cddu&amp;limiters=DT1%3A2019-11-26%2F2024-11-26%2CFT%3AY&amp;q=Human%20Resources%20Management%20and%20Ethics%3A%20Responsibilities%2C%20Actions%2C%20Issues%2C%20and%20Experiences" TargetMode="External"/><Relationship Id="rId37" Type="http://schemas.openxmlformats.org/officeDocument/2006/relationships/hyperlink" Target="https://research.ebsco.com/c/fcl55w/search/details/bdwv56kcob?db=e000xww%2Cnlebk%2Cagp%2Cofm%2Cddu&amp;limiters=DT1%3A2014-11-26%2F2024-11-26&amp;q=Globalization%20after" TargetMode="External"/><Relationship Id="rId58" Type="http://schemas.openxmlformats.org/officeDocument/2006/relationships/hyperlink" Target="https://research.ebsco.com/c/fcl55w/search/details/v6n2dnl3df?db=e000xww%2Cnlebk%2Cagp%2Cofm%2Cddu&amp;limiters=DT1%3A2019-11-26%2F2024-11-26&amp;q=Inorganic" TargetMode="External"/><Relationship Id="rId79" Type="http://schemas.openxmlformats.org/officeDocument/2006/relationships/hyperlink" Target="https://research.ebsco.com/c/fcl55w/search/details/eiddlaidzr?db=e000xww%2Cnlebk%2Cagp%2Cofm%2Cddu&amp;limiters=DT1%3A2019-11-26%2F2024-11-26&amp;q=Plant%20Physiology" TargetMode="External"/><Relationship Id="rId102" Type="http://schemas.openxmlformats.org/officeDocument/2006/relationships/hyperlink" Target="https://research.ebsco.com/c/fcl55w/search/details/3qclpvb6nj?db=e000xww%2Cnlebk%2Cagp%2Cofm%2Cddu&amp;limiters=None&amp;q=Alternative%20Globalization" TargetMode="External"/><Relationship Id="rId123" Type="http://schemas.openxmlformats.org/officeDocument/2006/relationships/hyperlink" Target="https://research.ebsco.com/c/fcl55w/search/details/djfzmswre5?db=e000xww%2Cnlebk%2Cagp%2Cofm%2Cddu&amp;limiters=None&amp;q=Resistance%2C%20Resilience" TargetMode="External"/><Relationship Id="rId144" Type="http://schemas.openxmlformats.org/officeDocument/2006/relationships/hyperlink" Target="https://research.ebsco.com/c/fcl55w/search/details/yif5twbypj?db=e000xww%2Cnlebk%2Cagp%2Cofm%2Cddu&amp;limiters=DT1%3A2019-12-03%2F2024-12-03&amp;q=Community%20Organizing%20and%20Community%20Building%20for%20Health%20and%20Social%20Equity%2C%204th%20Edition" TargetMode="External"/><Relationship Id="rId90" Type="http://schemas.openxmlformats.org/officeDocument/2006/relationships/hyperlink" Target="https://research.ebsco.com/c/fcl55w/search/details/uvo6mehvjf?db=e000xww%2Cnlebk%2Cagp%2Cofm%2Cddu&amp;limiters=None&amp;q=Water%20Resources%20Management%3A%20Methods%2C%20Applications%20and%20Challenges" TargetMode="External"/><Relationship Id="rId165" Type="http://schemas.openxmlformats.org/officeDocument/2006/relationships/hyperlink" Target="https://research.ebsco.com/c/fcl55w/search/details/xhkpqkvnhr?db=e000xww%2Cnlebk%2Cagp%2Cofm%2Cddu&amp;limiters=DT1%3A2019-12-03%2F2024-12-03&amp;q=Marketing%20%3A%20Principles%20of%20Customer-Centric%20Business%20Management" TargetMode="External"/><Relationship Id="rId27" Type="http://schemas.openxmlformats.org/officeDocument/2006/relationships/hyperlink" Target="https://research.ebsco.com/c/fcl55w/search/details/7n2himkjw5?db=e000xww%2Cnlebk%2Cagp%2Cofm%2Cddu&amp;limiters=DT1%3A2014-11-26%2F2024-11-26&amp;q=Asian%20Place%2C%20Filipino%20Nation%20%3A%20A%20Global%20Intellectual%20History%20of%20the%20Philippine%20Revolution" TargetMode="External"/><Relationship Id="rId48" Type="http://schemas.openxmlformats.org/officeDocument/2006/relationships/hyperlink" Target="https://research.ebsco.com/c/fcl55w/search/details/7fkvluaopb?db=e000xww%2Cnlebk%2Cagp%2Cofm%2Cddu&amp;limiters=DT1%3A2014-11-27%2F2024-11-27&amp;q=Breeding%20of%20Fruit%20Crops" TargetMode="External"/><Relationship Id="rId69" Type="http://schemas.openxmlformats.org/officeDocument/2006/relationships/hyperlink" Target="https://research.ebsco.com/c/fcl55w/search/details/mzkwj6m6f5?db=e000xww%2Cnlebk%2Cagp%2Cofm%2Cddu&amp;limiters=DT1%3A2019-11-26%2F2024-11-26&amp;q=sociology" TargetMode="External"/><Relationship Id="rId113" Type="http://schemas.openxmlformats.org/officeDocument/2006/relationships/hyperlink" Target="https://research.ebsco.com/c/fcl55w/search/details/jp7syz246f?db=e000xww%2Cnlebk%2Cagp%2Cofm%2Cddu&amp;limiters=None&amp;q=Transmissions%20and%20Translations" TargetMode="External"/><Relationship Id="rId134" Type="http://schemas.openxmlformats.org/officeDocument/2006/relationships/hyperlink" Target="https://research.ebsco.com/c/fcl55w/search/details/dtfqh56dij?db=e000xww%2Cnlebk%2Cagp%2Cofm%2Cddu&amp;limiters=None&amp;q=Learning%20ArcGIS%20Pro%202%20%3A%20A%20Beginner%27s%20Guide%20to%20Creating%202D%20and%203D%20Maps%20and%20Editing%20Geospatial%20Data%20with%20ArcGIS%20Pro%2C%202nd%20Edition" TargetMode="External"/><Relationship Id="rId80" Type="http://schemas.openxmlformats.org/officeDocument/2006/relationships/hyperlink" Target="https://research.ebsco.com/c/fcl55w/search/details/cgknres5nn?db=e000xww%2Cnlebk%2Cagp%2Cofm%2Cddu&amp;limiters=DT1%3A2019-11-26%2F2024-11-26&amp;q=Plant%20Physiology" TargetMode="External"/><Relationship Id="rId155" Type="http://schemas.openxmlformats.org/officeDocument/2006/relationships/hyperlink" Target="https://research.ebsco.com/c/fcl55w/search/details/mt2ohbrivn?db=e000xww%2Cnlebk%2Cagp%2Cofm%2Cddu&amp;limiters=DT1%3A2019-12-03%2F2024-12-03&amp;q=Soil%20Degradation" TargetMode="External"/><Relationship Id="rId17" Type="http://schemas.openxmlformats.org/officeDocument/2006/relationships/hyperlink" Target="https://research.ebsco.com/c/fcl55w/search/details/b4v2h3mitf?db=e000xww%2Cnlebk%2Cagp%2Cofm%2Cddu&amp;limiters=DT1%3A2014-11-26%2F2024-11-26&amp;q=Practices%20of%20Oral%20Performance%20in%20Manuals%20of%20Rhetoric%2C%20Journalism%20and%20Autobiography" TargetMode="External"/><Relationship Id="rId38" Type="http://schemas.openxmlformats.org/officeDocument/2006/relationships/hyperlink" Target="https://research.ebsco.com/c/fcl55w/search/details/r3ms73vuv5?db=e000xww%2Cnlebk%2Cagp%2Cofm%2Cddu&amp;limiters=DT1%3A2014-11-27%2F2024-11-27&amp;q=Controversies%20in%20the%20Contemporary%20World" TargetMode="External"/><Relationship Id="rId59" Type="http://schemas.openxmlformats.org/officeDocument/2006/relationships/hyperlink" Target="https://research.ebsco.com/c/fcl55w/search/details/n5kygzdljz?db=e000xww%2Cnlebk%2Cagp%2Cofm%2Cddu&amp;limiters=DT1%3A2019-11-26%2F2024-11-26&amp;q=Inorganic" TargetMode="External"/><Relationship Id="rId103" Type="http://schemas.openxmlformats.org/officeDocument/2006/relationships/hyperlink" Target="https://research.ebsco.com/c/fcl55w/search/details/bckpuyex45?db=e000xww%2Cnlebk%2Cagp%2Cofm%2Cddu&amp;limiters=None&amp;q=Borders%2C%20Culture" TargetMode="External"/><Relationship Id="rId124" Type="http://schemas.openxmlformats.org/officeDocument/2006/relationships/hyperlink" Target="https://research.ebsco.com/c/fcl55w/search/details/fnaageid6v?db=e000xww%2Cnlebk%2Cagp%2Cofm%2Cddu&amp;limiters=None&amp;q=Managing%20Sustainable%20" TargetMode="External"/><Relationship Id="rId70" Type="http://schemas.openxmlformats.org/officeDocument/2006/relationships/hyperlink" Target="https://research.ebsco.com/c/fcl55w/search/details/qldrmkrxzz?db=e000xww%2Cnlebk%2Cagp%2Cofm%2Cddu&amp;limiters=DT1%3A2019-11-26%2F2024-11-26&amp;q=sociology" TargetMode="External"/><Relationship Id="rId91" Type="http://schemas.openxmlformats.org/officeDocument/2006/relationships/hyperlink" Target="https://research.ebsco.com/c/fcl55w/search/details/rdsvsy66hb?db=e000xww%2Cnlebk%2Cagp%2Cofm%2Cddu&amp;limiters=DT1%3A2019-11-27%2F2024-11-27&amp;q=Soil%20and%20Water%20Conservation" TargetMode="External"/><Relationship Id="rId145" Type="http://schemas.openxmlformats.org/officeDocument/2006/relationships/hyperlink" Target="https://research.ebsco.com/c/fcl55w/search/details/zyariwiu5b?db=e000xww%2Cnlebk%2Cagp%2Cofm%2Cddu&amp;limiters=DT1%3A2019-12-03%2F2024-12-03&amp;q=Sustainable%20Farm%20Finance%20%3A%20A%20Practical%20Guide%20for%20Broadacre%20Graziers" TargetMode="External"/><Relationship Id="rId166" Type="http://schemas.openxmlformats.org/officeDocument/2006/relationships/hyperlink" Target="https://research.ebsco.com/c/fcl55w/search/details/zyariwiu5b?db=e000xww%2Cnlebk%2Cagp%2Cofm%2Cddu&amp;limiters=DT1%3A2019-12-03%2F2024-12-03&amp;q=%20Sustainable%20Farm%20Finance%20%3A%20A%20Practical%20Guide%20for%20Broadacre%20Grazi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AF1255"/>
  <sheetViews>
    <sheetView view="pageLayout" topLeftCell="A76" zoomScale="70" zoomScaleNormal="85" zoomScalePageLayoutView="70" workbookViewId="0">
      <selection activeCell="A79" sqref="A79"/>
    </sheetView>
  </sheetViews>
  <sheetFormatPr defaultColWidth="9.140625" defaultRowHeight="15.75"/>
  <cols>
    <col min="1" max="1" width="19.5703125" style="5" customWidth="1"/>
    <col min="2" max="2" width="43" style="5" customWidth="1"/>
    <col min="3" max="3" width="8.7109375" style="5" customWidth="1"/>
    <col min="4" max="4" width="8" style="5" customWidth="1"/>
    <col min="5" max="5" width="7.5703125" style="226" customWidth="1"/>
    <col min="6" max="6" width="7.5703125" style="5" customWidth="1"/>
    <col min="7" max="7" width="7" style="5" customWidth="1"/>
    <col min="8" max="8" width="7.42578125" style="5" customWidth="1"/>
    <col min="9" max="9" width="6.85546875" style="5" customWidth="1"/>
    <col min="10" max="10" width="6.7109375" style="5" customWidth="1"/>
    <col min="11" max="11" width="8.42578125" style="5" customWidth="1"/>
    <col min="12" max="12" width="7.140625" style="5" customWidth="1"/>
    <col min="13" max="13" width="6.85546875" style="5" customWidth="1"/>
    <col min="14" max="14" width="7.5703125" style="5" customWidth="1"/>
    <col min="15" max="15" width="7.140625" style="5" customWidth="1"/>
    <col min="16" max="16" width="7.5703125" style="5" customWidth="1"/>
    <col min="17" max="17" width="8.28515625" style="5" customWidth="1"/>
    <col min="18" max="18" width="7.5703125" style="5" customWidth="1"/>
    <col min="19" max="19" width="7.7109375" style="5" customWidth="1"/>
    <col min="20" max="20" width="8.42578125" style="5" customWidth="1"/>
    <col min="21" max="21" width="10.28515625" style="5" customWidth="1"/>
    <col min="22" max="22" width="10.42578125" style="5" customWidth="1"/>
    <col min="23" max="23" width="12.7109375" style="5" customWidth="1"/>
    <col min="24" max="24" width="8" style="5" customWidth="1"/>
    <col min="25" max="25" width="9" style="5" customWidth="1"/>
    <col min="26" max="26" width="5.7109375" style="5" customWidth="1"/>
    <col min="27" max="27" width="6.140625" style="5" customWidth="1"/>
    <col min="28" max="28" width="7.7109375" style="5" customWidth="1"/>
    <col min="29" max="29" width="8.28515625" style="5" customWidth="1"/>
    <col min="30" max="16384" width="9.140625" style="5"/>
  </cols>
  <sheetData>
    <row r="1" spans="1:31" customFormat="1" ht="15" customHeight="1">
      <c r="C1" s="124"/>
      <c r="D1" s="124"/>
      <c r="E1" s="124"/>
      <c r="F1" s="276" t="s">
        <v>1620</v>
      </c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  <c r="S1" s="276"/>
      <c r="T1" s="276"/>
      <c r="U1" s="124"/>
      <c r="V1" s="124"/>
      <c r="W1" s="124"/>
      <c r="X1" s="124"/>
    </row>
    <row r="2" spans="1:31" customFormat="1" ht="15" customHeight="1">
      <c r="C2" s="124"/>
      <c r="D2" s="124"/>
      <c r="E2" s="124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  <c r="U2" s="124"/>
      <c r="V2" s="124"/>
      <c r="W2" s="124"/>
      <c r="X2" s="124"/>
    </row>
    <row r="3" spans="1:31" customFormat="1" ht="15" customHeight="1">
      <c r="C3" s="124"/>
      <c r="D3" s="124"/>
      <c r="E3" s="124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  <c r="S3" s="276"/>
      <c r="T3" s="276"/>
      <c r="U3" s="124"/>
      <c r="V3" s="124"/>
      <c r="W3" s="124"/>
      <c r="X3" s="124"/>
    </row>
    <row r="4" spans="1:31" customFormat="1" ht="15" customHeight="1">
      <c r="C4" s="124"/>
      <c r="D4" s="124"/>
      <c r="E4" s="124"/>
      <c r="F4" s="276"/>
      <c r="G4" s="276"/>
      <c r="H4" s="276"/>
      <c r="I4" s="276"/>
      <c r="J4" s="276"/>
      <c r="K4" s="276"/>
      <c r="L4" s="276"/>
      <c r="M4" s="276"/>
      <c r="N4" s="276"/>
      <c r="O4" s="276"/>
      <c r="P4" s="276"/>
      <c r="Q4" s="276"/>
      <c r="R4" s="276"/>
      <c r="S4" s="276"/>
      <c r="T4" s="276"/>
      <c r="U4" s="124"/>
      <c r="V4" s="124"/>
      <c r="W4" s="124"/>
      <c r="X4" s="124"/>
    </row>
    <row r="5" spans="1:31" customFormat="1" ht="15" customHeight="1">
      <c r="C5" s="124"/>
      <c r="D5" s="124"/>
      <c r="E5" s="124"/>
      <c r="F5" s="276"/>
      <c r="G5" s="276"/>
      <c r="H5" s="276"/>
      <c r="I5" s="276"/>
      <c r="J5" s="276"/>
      <c r="K5" s="276"/>
      <c r="L5" s="276"/>
      <c r="M5" s="276"/>
      <c r="N5" s="276"/>
      <c r="O5" s="276"/>
      <c r="P5" s="276"/>
      <c r="Q5" s="276"/>
      <c r="R5" s="276"/>
      <c r="S5" s="276"/>
      <c r="T5" s="276"/>
      <c r="U5" s="124"/>
      <c r="V5" s="124"/>
      <c r="W5" s="124"/>
      <c r="X5" s="124"/>
    </row>
    <row r="6" spans="1:31" customFormat="1" ht="15" customHeight="1">
      <c r="C6" s="124"/>
      <c r="D6" s="124"/>
      <c r="E6" s="124"/>
      <c r="F6" s="276"/>
      <c r="G6" s="276"/>
      <c r="H6" s="276"/>
      <c r="I6" s="276"/>
      <c r="J6" s="276"/>
      <c r="K6" s="276"/>
      <c r="L6" s="276"/>
      <c r="M6" s="276"/>
      <c r="N6" s="276"/>
      <c r="O6" s="276"/>
      <c r="P6" s="276"/>
      <c r="Q6" s="276"/>
      <c r="R6" s="276"/>
      <c r="S6" s="276"/>
      <c r="T6" s="276"/>
      <c r="U6" s="124"/>
      <c r="V6" s="124"/>
      <c r="W6" s="124"/>
      <c r="X6" s="124"/>
    </row>
    <row r="7" spans="1:31" customFormat="1" ht="15" customHeight="1">
      <c r="C7" s="124"/>
      <c r="D7" s="124"/>
      <c r="E7" s="124"/>
      <c r="F7" s="276"/>
      <c r="G7" s="276"/>
      <c r="H7" s="276"/>
      <c r="I7" s="276"/>
      <c r="J7" s="276"/>
      <c r="K7" s="276"/>
      <c r="L7" s="276"/>
      <c r="M7" s="276"/>
      <c r="N7" s="276"/>
      <c r="O7" s="276"/>
      <c r="P7" s="276"/>
      <c r="Q7" s="276"/>
      <c r="R7" s="276"/>
      <c r="S7" s="276"/>
      <c r="T7" s="276"/>
      <c r="U7" s="124"/>
      <c r="V7" s="124"/>
      <c r="W7" s="124"/>
      <c r="X7" s="124"/>
    </row>
    <row r="8" spans="1:31" ht="15" customHeight="1">
      <c r="C8" s="124"/>
      <c r="D8" s="124"/>
      <c r="E8" s="124"/>
      <c r="F8" s="276"/>
      <c r="G8" s="276"/>
      <c r="H8" s="276"/>
      <c r="I8" s="276"/>
      <c r="J8" s="276"/>
      <c r="K8" s="276"/>
      <c r="L8" s="276"/>
      <c r="M8" s="276"/>
      <c r="N8" s="276"/>
      <c r="O8" s="276"/>
      <c r="P8" s="276"/>
      <c r="Q8" s="276"/>
      <c r="R8" s="276"/>
      <c r="S8" s="276"/>
      <c r="T8" s="276"/>
      <c r="U8" s="124"/>
      <c r="V8" s="124"/>
      <c r="W8" s="124"/>
      <c r="X8" s="124"/>
    </row>
    <row r="9" spans="1:31">
      <c r="E9"/>
    </row>
    <row r="10" spans="1:31" ht="19.5" customHeight="1">
      <c r="A10" s="286" t="s">
        <v>0</v>
      </c>
      <c r="B10" s="286"/>
      <c r="C10" s="286"/>
      <c r="D10" s="286"/>
      <c r="E10" s="286"/>
      <c r="F10" s="286"/>
      <c r="G10" s="286"/>
      <c r="H10" s="286"/>
      <c r="I10" s="286"/>
      <c r="J10" s="286"/>
      <c r="K10" s="286"/>
      <c r="L10" s="286"/>
      <c r="M10" s="286"/>
      <c r="N10" s="286"/>
      <c r="O10" s="286"/>
      <c r="P10" s="286"/>
      <c r="Q10" s="286"/>
      <c r="R10" s="286"/>
      <c r="S10" s="286"/>
      <c r="T10" s="286"/>
      <c r="U10" s="286"/>
      <c r="V10" s="286"/>
      <c r="W10" s="286"/>
      <c r="X10" s="286"/>
      <c r="Y10" s="286"/>
      <c r="Z10" s="286"/>
      <c r="AA10" s="286"/>
      <c r="AB10" s="286"/>
      <c r="AC10" s="286"/>
    </row>
    <row r="11" spans="1:31">
      <c r="E11"/>
    </row>
    <row r="12" spans="1:31" ht="15.75" customHeight="1">
      <c r="A12" s="320" t="s">
        <v>1625</v>
      </c>
      <c r="B12" s="320"/>
      <c r="C12" s="320"/>
      <c r="D12" s="320"/>
      <c r="E12" s="320"/>
      <c r="F12" s="320"/>
      <c r="G12" s="320"/>
      <c r="H12" s="320"/>
      <c r="I12" s="320"/>
      <c r="J12" s="320"/>
      <c r="K12" s="320"/>
      <c r="L12" s="320"/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  <c r="Y12" s="320"/>
      <c r="Z12" s="320"/>
      <c r="AA12" s="320"/>
      <c r="AB12" s="320"/>
      <c r="AC12" s="320"/>
    </row>
    <row r="13" spans="1:31" ht="15.75" customHeight="1">
      <c r="A13" s="287"/>
      <c r="B13" s="287"/>
      <c r="C13" s="287"/>
      <c r="D13" s="287"/>
      <c r="E13" s="287"/>
      <c r="F13" s="287"/>
      <c r="G13" s="287"/>
      <c r="H13" s="287"/>
      <c r="I13" s="287"/>
      <c r="J13" s="287"/>
      <c r="K13" s="287"/>
      <c r="L13" s="287"/>
      <c r="M13" s="287"/>
      <c r="N13" s="287"/>
      <c r="O13" s="287"/>
      <c r="P13" s="287"/>
      <c r="Q13" s="287"/>
      <c r="R13" s="287"/>
      <c r="S13" s="287"/>
      <c r="T13" s="287"/>
      <c r="U13" s="287"/>
      <c r="V13" s="287"/>
      <c r="W13" s="287"/>
      <c r="X13" s="287"/>
      <c r="Y13" s="287"/>
      <c r="Z13" s="287"/>
      <c r="AA13" s="287"/>
      <c r="AB13" s="287"/>
      <c r="AC13" s="287"/>
    </row>
    <row r="14" spans="1:31" ht="15.75" customHeight="1">
      <c r="E14"/>
    </row>
    <row r="15" spans="1:31" ht="14.25" customHeight="1">
      <c r="E15"/>
      <c r="G15"/>
      <c r="H15"/>
      <c r="I15"/>
      <c r="AD15"/>
      <c r="AE15"/>
    </row>
    <row r="16" spans="1:31" ht="24" customHeight="1">
      <c r="A16" s="321" t="s">
        <v>1625</v>
      </c>
      <c r="B16" s="322"/>
      <c r="C16" s="281">
        <v>2024</v>
      </c>
      <c r="D16" s="282"/>
      <c r="E16" s="282"/>
      <c r="F16" s="288" t="s">
        <v>2</v>
      </c>
      <c r="G16" s="288"/>
      <c r="H16" s="288"/>
      <c r="I16" s="288"/>
      <c r="J16" s="288"/>
      <c r="K16" s="288"/>
      <c r="L16" s="288"/>
      <c r="M16" s="288"/>
      <c r="N16" s="288"/>
      <c r="O16" s="288"/>
      <c r="P16" s="288"/>
      <c r="Q16" s="288"/>
      <c r="R16" s="288"/>
      <c r="S16" s="288"/>
      <c r="T16" s="171"/>
      <c r="U16" s="285" t="s">
        <v>3</v>
      </c>
      <c r="V16" s="285"/>
      <c r="W16" s="285"/>
      <c r="X16" s="168"/>
      <c r="Y16" s="266"/>
      <c r="Z16" s="266"/>
      <c r="AA16" s="266"/>
      <c r="AB16" s="168"/>
      <c r="AC16" s="168"/>
      <c r="AD16" s="3"/>
      <c r="AE16" s="3"/>
    </row>
    <row r="17" spans="1:31">
      <c r="A17" s="321"/>
      <c r="B17" s="322"/>
      <c r="C17" s="283"/>
      <c r="D17" s="284"/>
      <c r="E17" s="284"/>
      <c r="F17" s="289">
        <v>2023</v>
      </c>
      <c r="G17" s="290"/>
      <c r="H17" s="291"/>
      <c r="I17" s="289">
        <v>2022</v>
      </c>
      <c r="J17" s="290"/>
      <c r="K17" s="291"/>
      <c r="L17" s="289">
        <v>2021</v>
      </c>
      <c r="M17" s="290"/>
      <c r="N17" s="291"/>
      <c r="O17" s="289">
        <v>2020</v>
      </c>
      <c r="P17" s="290"/>
      <c r="Q17" s="291"/>
      <c r="R17" s="289">
        <v>2019</v>
      </c>
      <c r="S17" s="290"/>
      <c r="T17" s="291"/>
      <c r="U17" s="285"/>
      <c r="V17" s="285"/>
      <c r="W17" s="285"/>
      <c r="X17" s="168"/>
      <c r="Y17" s="266"/>
      <c r="Z17" s="266"/>
      <c r="AA17" s="266"/>
      <c r="AB17" s="168"/>
      <c r="AC17" s="168"/>
      <c r="AD17" s="3"/>
      <c r="AE17" s="3"/>
    </row>
    <row r="18" spans="1:31" ht="47.25">
      <c r="A18" s="27"/>
      <c r="B18" s="35"/>
      <c r="C18" s="302" t="s">
        <v>4</v>
      </c>
      <c r="D18" s="303"/>
      <c r="E18" s="267" t="s">
        <v>5</v>
      </c>
      <c r="F18" s="302" t="s">
        <v>4</v>
      </c>
      <c r="G18" s="303"/>
      <c r="H18" s="268" t="s">
        <v>5</v>
      </c>
      <c r="I18" s="294" t="s">
        <v>4</v>
      </c>
      <c r="J18" s="295"/>
      <c r="K18" s="117" t="s">
        <v>5</v>
      </c>
      <c r="L18" s="294" t="s">
        <v>4</v>
      </c>
      <c r="M18" s="295"/>
      <c r="N18" s="117" t="s">
        <v>5</v>
      </c>
      <c r="O18" s="296" t="s">
        <v>4</v>
      </c>
      <c r="P18" s="297"/>
      <c r="Q18" s="117" t="s">
        <v>5</v>
      </c>
      <c r="R18" s="296" t="s">
        <v>4</v>
      </c>
      <c r="S18" s="297"/>
      <c r="T18" s="117" t="s">
        <v>5</v>
      </c>
      <c r="U18" s="285" t="s">
        <v>4</v>
      </c>
      <c r="V18" s="285"/>
      <c r="W18" s="117" t="s">
        <v>5</v>
      </c>
      <c r="X18" s="177"/>
      <c r="Y18" s="266"/>
      <c r="Z18" s="267"/>
      <c r="AA18" s="267"/>
      <c r="AB18" s="177"/>
      <c r="AC18" s="177"/>
      <c r="AD18" s="3"/>
      <c r="AE18" s="3"/>
    </row>
    <row r="19" spans="1:31" ht="18.95" customHeight="1">
      <c r="A19" s="227" t="s">
        <v>6</v>
      </c>
      <c r="B19" s="233" t="s">
        <v>7</v>
      </c>
      <c r="C19" s="171" t="s">
        <v>8</v>
      </c>
      <c r="D19" s="171" t="s">
        <v>9</v>
      </c>
      <c r="E19" s="171" t="s">
        <v>8</v>
      </c>
      <c r="F19" s="171" t="s">
        <v>8</v>
      </c>
      <c r="G19" s="171" t="s">
        <v>9</v>
      </c>
      <c r="H19" s="171" t="s">
        <v>8</v>
      </c>
      <c r="I19" s="171" t="s">
        <v>8</v>
      </c>
      <c r="J19" s="171" t="s">
        <v>9</v>
      </c>
      <c r="K19" s="171" t="s">
        <v>8</v>
      </c>
      <c r="L19" s="171" t="s">
        <v>8</v>
      </c>
      <c r="M19" s="171" t="s">
        <v>9</v>
      </c>
      <c r="N19" s="171" t="s">
        <v>8</v>
      </c>
      <c r="O19" s="171" t="s">
        <v>8</v>
      </c>
      <c r="P19" s="171" t="s">
        <v>9</v>
      </c>
      <c r="Q19" s="171" t="s">
        <v>8</v>
      </c>
      <c r="R19" s="171" t="s">
        <v>8</v>
      </c>
      <c r="S19" s="171" t="s">
        <v>9</v>
      </c>
      <c r="T19" s="171" t="s">
        <v>8</v>
      </c>
      <c r="U19" s="171" t="s">
        <v>8</v>
      </c>
      <c r="V19" s="171" t="s">
        <v>9</v>
      </c>
      <c r="W19" s="171" t="s">
        <v>8</v>
      </c>
      <c r="X19" s="177"/>
      <c r="Y19" s="266"/>
      <c r="Z19" s="177"/>
      <c r="AA19" s="177"/>
      <c r="AB19" s="177"/>
      <c r="AC19" s="177"/>
      <c r="AD19" s="3"/>
      <c r="AE19" s="3"/>
    </row>
    <row r="20" spans="1:31" ht="18.95" customHeight="1">
      <c r="A20" s="304" t="s">
        <v>10</v>
      </c>
      <c r="B20" s="305"/>
      <c r="C20" s="305"/>
      <c r="D20" s="305"/>
      <c r="E20" s="305"/>
      <c r="F20" s="305"/>
      <c r="G20" s="305"/>
      <c r="H20" s="305"/>
      <c r="I20" s="305"/>
      <c r="J20" s="305"/>
      <c r="K20" s="305"/>
      <c r="L20" s="305"/>
      <c r="M20" s="305"/>
      <c r="N20" s="305"/>
      <c r="O20" s="305"/>
      <c r="P20" s="305"/>
      <c r="Q20" s="305"/>
      <c r="R20" s="305"/>
      <c r="S20" s="305"/>
      <c r="T20" s="305"/>
      <c r="U20" s="305"/>
      <c r="V20" s="305"/>
      <c r="W20" s="305"/>
      <c r="X20" s="306"/>
      <c r="Y20" s="306"/>
      <c r="Z20" s="306"/>
      <c r="AA20" s="306"/>
      <c r="AB20" s="306"/>
      <c r="AC20" s="306"/>
      <c r="AD20" s="3"/>
      <c r="AE20" s="3"/>
    </row>
    <row r="21" spans="1:31" ht="18.95" customHeight="1">
      <c r="A21" s="337" t="s">
        <v>11</v>
      </c>
      <c r="B21" s="323" t="s">
        <v>12</v>
      </c>
      <c r="C21" s="237"/>
      <c r="D21" s="235"/>
      <c r="E21" s="236"/>
      <c r="F21" s="238"/>
      <c r="G21" s="235"/>
      <c r="H21" s="236"/>
      <c r="I21" s="238"/>
      <c r="J21" s="235"/>
      <c r="K21" s="236"/>
      <c r="L21" s="238"/>
      <c r="M21" s="235"/>
      <c r="N21" s="236"/>
      <c r="O21" s="238"/>
      <c r="P21" s="235"/>
      <c r="Q21" s="236"/>
      <c r="R21" s="238"/>
      <c r="S21" s="235"/>
      <c r="T21" s="236"/>
      <c r="U21" s="234">
        <f t="shared" ref="U21:U29" si="0">C21+F21+I21+L21+O21+R21</f>
        <v>0</v>
      </c>
      <c r="V21" s="235">
        <f t="shared" ref="V21:V29" si="1">D21+G21+J21+M21+P21+S21</f>
        <v>0</v>
      </c>
      <c r="W21" s="236">
        <f>SUM(E21,H21,K21,N21,Q21,T21)</f>
        <v>0</v>
      </c>
      <c r="X21" s="3"/>
      <c r="Y21" s="3"/>
      <c r="Z21" s="3"/>
      <c r="AA21" s="3"/>
      <c r="AB21" s="3"/>
      <c r="AC21" s="3"/>
      <c r="AD21" s="3"/>
      <c r="AE21" s="3"/>
    </row>
    <row r="22" spans="1:31" ht="18.95" customHeight="1">
      <c r="A22" s="338" t="s">
        <v>13</v>
      </c>
      <c r="B22" s="324" t="s">
        <v>14</v>
      </c>
      <c r="C22" s="238"/>
      <c r="D22" s="235"/>
      <c r="E22" s="236"/>
      <c r="F22" s="238"/>
      <c r="G22" s="235"/>
      <c r="H22" s="236"/>
      <c r="I22" s="238"/>
      <c r="J22" s="235"/>
      <c r="K22" s="236"/>
      <c r="L22" s="238"/>
      <c r="M22" s="235"/>
      <c r="N22" s="236"/>
      <c r="O22" s="238"/>
      <c r="P22" s="235"/>
      <c r="Q22" s="236"/>
      <c r="R22" s="238"/>
      <c r="S22" s="235"/>
      <c r="T22" s="236"/>
      <c r="U22" s="234">
        <f t="shared" si="0"/>
        <v>0</v>
      </c>
      <c r="V22" s="235">
        <f t="shared" si="1"/>
        <v>0</v>
      </c>
      <c r="W22" s="236">
        <f t="shared" ref="W22:W29" si="2">SUM(E22,H22,K22,N22,Q22,T22)</f>
        <v>0</v>
      </c>
      <c r="X22" s="3"/>
      <c r="Y22" s="3"/>
      <c r="Z22" s="3"/>
      <c r="AA22" s="3"/>
      <c r="AB22" s="3"/>
      <c r="AC22" s="3"/>
      <c r="AD22" s="3"/>
      <c r="AE22" s="3"/>
    </row>
    <row r="23" spans="1:31" ht="18.95" customHeight="1">
      <c r="A23" s="337" t="s">
        <v>15</v>
      </c>
      <c r="B23" s="323" t="s">
        <v>16</v>
      </c>
      <c r="C23" s="238"/>
      <c r="D23" s="235"/>
      <c r="E23" s="236"/>
      <c r="F23" s="238"/>
      <c r="G23" s="235"/>
      <c r="H23" s="236"/>
      <c r="I23" s="238"/>
      <c r="J23" s="235"/>
      <c r="K23" s="236"/>
      <c r="L23" s="238"/>
      <c r="M23" s="235"/>
      <c r="N23" s="236"/>
      <c r="O23" s="238"/>
      <c r="P23" s="235"/>
      <c r="Q23" s="236"/>
      <c r="R23" s="238"/>
      <c r="S23" s="235"/>
      <c r="T23" s="236"/>
      <c r="U23" s="234">
        <f t="shared" si="0"/>
        <v>0</v>
      </c>
      <c r="V23" s="235">
        <f t="shared" si="1"/>
        <v>0</v>
      </c>
      <c r="W23" s="236">
        <f t="shared" si="2"/>
        <v>0</v>
      </c>
      <c r="X23" s="3"/>
      <c r="Y23" s="3"/>
      <c r="Z23" s="3"/>
      <c r="AA23" s="3"/>
      <c r="AB23" s="3"/>
      <c r="AC23" s="3"/>
      <c r="AD23" s="3"/>
      <c r="AE23" s="3"/>
    </row>
    <row r="24" spans="1:31" ht="18.95" customHeight="1">
      <c r="A24" s="338" t="s">
        <v>17</v>
      </c>
      <c r="B24" s="324" t="s">
        <v>18</v>
      </c>
      <c r="C24" s="238"/>
      <c r="D24" s="235"/>
      <c r="E24" s="236"/>
      <c r="F24" s="238"/>
      <c r="G24" s="235"/>
      <c r="H24" s="236"/>
      <c r="I24" s="238"/>
      <c r="J24" s="235"/>
      <c r="K24" s="236"/>
      <c r="L24" s="238"/>
      <c r="M24" s="235"/>
      <c r="N24" s="236"/>
      <c r="O24" s="238"/>
      <c r="P24" s="235"/>
      <c r="Q24" s="236"/>
      <c r="R24" s="238"/>
      <c r="S24" s="235"/>
      <c r="T24" s="236"/>
      <c r="U24" s="234">
        <f t="shared" si="0"/>
        <v>0</v>
      </c>
      <c r="V24" s="235">
        <f t="shared" si="1"/>
        <v>0</v>
      </c>
      <c r="W24" s="236">
        <f t="shared" si="2"/>
        <v>0</v>
      </c>
      <c r="X24" s="3"/>
      <c r="Y24" s="3"/>
      <c r="Z24" s="3"/>
      <c r="AA24" s="3"/>
      <c r="AB24" s="3"/>
      <c r="AC24" s="3"/>
      <c r="AD24" s="3"/>
      <c r="AE24" s="3"/>
    </row>
    <row r="25" spans="1:31" ht="18.95" customHeight="1">
      <c r="A25" s="339" t="s">
        <v>19</v>
      </c>
      <c r="B25" s="324" t="s">
        <v>20</v>
      </c>
      <c r="C25" s="238"/>
      <c r="D25" s="235"/>
      <c r="E25" s="236"/>
      <c r="F25" s="238"/>
      <c r="G25" s="235"/>
      <c r="H25" s="236"/>
      <c r="I25" s="238"/>
      <c r="J25" s="235"/>
      <c r="K25" s="236"/>
      <c r="L25" s="238"/>
      <c r="M25" s="235"/>
      <c r="N25" s="236"/>
      <c r="O25" s="238"/>
      <c r="P25" s="235"/>
      <c r="Q25" s="236"/>
      <c r="R25" s="238"/>
      <c r="S25" s="235"/>
      <c r="T25" s="236"/>
      <c r="U25" s="234">
        <f t="shared" si="0"/>
        <v>0</v>
      </c>
      <c r="V25" s="235">
        <f t="shared" si="1"/>
        <v>0</v>
      </c>
      <c r="W25" s="236">
        <f t="shared" si="2"/>
        <v>0</v>
      </c>
      <c r="X25" s="3"/>
      <c r="Y25" s="3"/>
      <c r="Z25" s="3"/>
      <c r="AA25" s="3"/>
      <c r="AB25" s="3"/>
      <c r="AC25" s="3"/>
      <c r="AD25" s="3"/>
      <c r="AE25" s="3"/>
    </row>
    <row r="26" spans="1:31" ht="18.95" customHeight="1">
      <c r="A26" s="337" t="s">
        <v>21</v>
      </c>
      <c r="B26" s="323" t="s">
        <v>22</v>
      </c>
      <c r="C26" s="238"/>
      <c r="D26" s="235"/>
      <c r="E26" s="236"/>
      <c r="F26" s="238"/>
      <c r="G26" s="235"/>
      <c r="H26" s="236"/>
      <c r="I26" s="238"/>
      <c r="J26" s="235"/>
      <c r="K26" s="236"/>
      <c r="L26" s="238"/>
      <c r="M26" s="235"/>
      <c r="N26" s="236"/>
      <c r="O26" s="238"/>
      <c r="P26" s="235"/>
      <c r="Q26" s="236"/>
      <c r="R26" s="238"/>
      <c r="S26" s="235"/>
      <c r="T26" s="236"/>
      <c r="U26" s="234">
        <f t="shared" si="0"/>
        <v>0</v>
      </c>
      <c r="V26" s="235">
        <f t="shared" si="1"/>
        <v>0</v>
      </c>
      <c r="W26" s="236">
        <f t="shared" si="2"/>
        <v>0</v>
      </c>
      <c r="X26" s="3"/>
      <c r="Y26" s="3"/>
      <c r="Z26" s="3"/>
      <c r="AA26" s="3"/>
      <c r="AB26" s="3"/>
      <c r="AC26" s="3"/>
      <c r="AD26" s="3"/>
      <c r="AE26" s="3"/>
    </row>
    <row r="27" spans="1:31" ht="18.95" customHeight="1">
      <c r="A27" s="337" t="s">
        <v>23</v>
      </c>
      <c r="B27" s="325" t="s">
        <v>24</v>
      </c>
      <c r="C27" s="238"/>
      <c r="D27" s="235"/>
      <c r="E27" s="236"/>
      <c r="F27" s="238"/>
      <c r="G27" s="235"/>
      <c r="H27" s="236"/>
      <c r="I27" s="238"/>
      <c r="J27" s="235"/>
      <c r="K27" s="236"/>
      <c r="L27" s="238"/>
      <c r="M27" s="235"/>
      <c r="N27" s="236"/>
      <c r="O27" s="238"/>
      <c r="P27" s="235"/>
      <c r="Q27" s="236"/>
      <c r="R27" s="238"/>
      <c r="S27" s="235"/>
      <c r="T27" s="236"/>
      <c r="U27" s="234">
        <f t="shared" si="0"/>
        <v>0</v>
      </c>
      <c r="V27" s="235">
        <f t="shared" si="1"/>
        <v>0</v>
      </c>
      <c r="W27" s="236">
        <f t="shared" si="2"/>
        <v>0</v>
      </c>
      <c r="X27" s="3"/>
      <c r="Y27" s="3"/>
      <c r="Z27" s="3"/>
      <c r="AA27" s="3"/>
      <c r="AB27" s="3"/>
      <c r="AC27" s="3"/>
      <c r="AD27" s="3"/>
      <c r="AE27" s="3"/>
    </row>
    <row r="28" spans="1:31" ht="18.95" customHeight="1">
      <c r="A28" s="337" t="s">
        <v>25</v>
      </c>
      <c r="B28" s="323" t="s">
        <v>26</v>
      </c>
      <c r="C28" s="238"/>
      <c r="D28" s="235"/>
      <c r="E28" s="236"/>
      <c r="F28" s="238"/>
      <c r="G28" s="235"/>
      <c r="H28" s="236"/>
      <c r="I28" s="238"/>
      <c r="J28" s="235"/>
      <c r="K28" s="236"/>
      <c r="L28" s="238"/>
      <c r="M28" s="235"/>
      <c r="N28" s="236"/>
      <c r="O28" s="238"/>
      <c r="P28" s="235"/>
      <c r="Q28" s="236"/>
      <c r="R28" s="238"/>
      <c r="S28" s="235"/>
      <c r="T28" s="236"/>
      <c r="U28" s="234">
        <f t="shared" si="0"/>
        <v>0</v>
      </c>
      <c r="V28" s="235">
        <f t="shared" si="1"/>
        <v>0</v>
      </c>
      <c r="W28" s="236">
        <f t="shared" si="2"/>
        <v>0</v>
      </c>
      <c r="X28" s="3"/>
      <c r="Y28" s="3"/>
      <c r="Z28" s="3"/>
      <c r="AA28" s="3"/>
      <c r="AB28" s="3"/>
      <c r="AC28" s="3"/>
      <c r="AD28" s="3"/>
      <c r="AE28" s="3"/>
    </row>
    <row r="29" spans="1:31" ht="18.75" customHeight="1">
      <c r="A29" s="337" t="s">
        <v>27</v>
      </c>
      <c r="B29" s="323" t="s">
        <v>28</v>
      </c>
      <c r="C29" s="238"/>
      <c r="D29" s="235"/>
      <c r="E29" s="236"/>
      <c r="F29" s="238"/>
      <c r="G29" s="235"/>
      <c r="H29" s="236"/>
      <c r="I29" s="238"/>
      <c r="J29" s="235"/>
      <c r="K29" s="236"/>
      <c r="L29" s="238"/>
      <c r="M29" s="235"/>
      <c r="N29" s="236"/>
      <c r="O29" s="238"/>
      <c r="P29" s="235"/>
      <c r="Q29" s="236"/>
      <c r="R29" s="238"/>
      <c r="S29" s="235"/>
      <c r="T29" s="236"/>
      <c r="U29" s="234">
        <f t="shared" si="0"/>
        <v>0</v>
      </c>
      <c r="V29" s="235">
        <f t="shared" si="1"/>
        <v>0</v>
      </c>
      <c r="W29" s="236">
        <f t="shared" si="2"/>
        <v>0</v>
      </c>
      <c r="X29" s="3"/>
      <c r="Y29" s="3"/>
      <c r="Z29" s="3"/>
      <c r="AA29" s="3"/>
      <c r="AB29" s="3"/>
      <c r="AC29" s="3"/>
      <c r="AD29" s="3"/>
      <c r="AE29" s="3"/>
    </row>
    <row r="30" spans="1:31" ht="19.5" customHeight="1">
      <c r="A30" s="272" t="s">
        <v>29</v>
      </c>
      <c r="B30" s="326"/>
      <c r="C30" s="277"/>
      <c r="D30" s="278"/>
      <c r="E30" s="278"/>
      <c r="F30" s="278"/>
      <c r="G30" s="278"/>
      <c r="H30" s="278"/>
      <c r="I30" s="278"/>
      <c r="J30" s="278"/>
      <c r="K30" s="278"/>
      <c r="L30" s="278"/>
      <c r="M30" s="278"/>
      <c r="N30" s="278"/>
      <c r="O30" s="278"/>
      <c r="P30" s="278"/>
      <c r="Q30" s="278"/>
      <c r="R30" s="278"/>
      <c r="S30" s="278"/>
      <c r="T30" s="278"/>
      <c r="U30" s="278"/>
      <c r="V30" s="278"/>
      <c r="W30" s="278"/>
      <c r="X30" s="262"/>
      <c r="Y30" s="262"/>
      <c r="Z30" s="262"/>
      <c r="AA30" s="262"/>
      <c r="AB30" s="262"/>
      <c r="AC30" s="262"/>
      <c r="AD30" s="3"/>
      <c r="AE30" s="3"/>
    </row>
    <row r="31" spans="1:31" ht="18.95" customHeight="1">
      <c r="A31" s="337" t="s">
        <v>30</v>
      </c>
      <c r="B31" s="323" t="s">
        <v>31</v>
      </c>
      <c r="C31" s="238"/>
      <c r="D31" s="235"/>
      <c r="E31" s="236"/>
      <c r="F31" s="238"/>
      <c r="G31" s="235"/>
      <c r="H31" s="236"/>
      <c r="I31" s="238"/>
      <c r="J31" s="235"/>
      <c r="K31" s="236"/>
      <c r="L31" s="238"/>
      <c r="M31" s="235"/>
      <c r="N31" s="236"/>
      <c r="O31" s="238"/>
      <c r="P31" s="235"/>
      <c r="Q31" s="236"/>
      <c r="R31" s="238"/>
      <c r="S31" s="235"/>
      <c r="T31" s="236"/>
      <c r="U31" s="234">
        <f t="shared" ref="U31:V34" si="3">C31+F31+I31+L31+O31+R31</f>
        <v>0</v>
      </c>
      <c r="V31" s="235">
        <f t="shared" si="3"/>
        <v>0</v>
      </c>
      <c r="W31" s="236">
        <f>SUM(E31,H31,K31,N31,Q31,T31)</f>
        <v>0</v>
      </c>
      <c r="X31" s="3"/>
      <c r="Y31" s="3"/>
      <c r="Z31" s="3"/>
      <c r="AA31" s="3"/>
      <c r="AB31" s="3"/>
      <c r="AC31" s="3"/>
      <c r="AD31" s="3"/>
      <c r="AE31" s="3"/>
    </row>
    <row r="32" spans="1:31" ht="18.95" customHeight="1">
      <c r="A32" s="340" t="s">
        <v>32</v>
      </c>
      <c r="B32" s="327" t="s">
        <v>33</v>
      </c>
      <c r="C32" s="239"/>
      <c r="D32" s="240"/>
      <c r="E32" s="241"/>
      <c r="F32" s="239"/>
      <c r="G32" s="240"/>
      <c r="H32" s="241"/>
      <c r="I32" s="239"/>
      <c r="J32" s="240"/>
      <c r="K32" s="241"/>
      <c r="L32" s="239"/>
      <c r="M32" s="240"/>
      <c r="N32" s="241"/>
      <c r="O32" s="239"/>
      <c r="P32" s="240"/>
      <c r="Q32" s="241"/>
      <c r="R32" s="239"/>
      <c r="S32" s="240"/>
      <c r="T32" s="241"/>
      <c r="U32" s="242">
        <f t="shared" si="3"/>
        <v>0</v>
      </c>
      <c r="V32" s="240">
        <f t="shared" si="3"/>
        <v>0</v>
      </c>
      <c r="W32" s="241">
        <f t="shared" ref="W32:W39" si="4">SUM(E32,H32,K32,N32,Q32,T32)</f>
        <v>0</v>
      </c>
      <c r="X32" s="3"/>
      <c r="Y32" s="3"/>
      <c r="Z32" s="3"/>
      <c r="AA32" s="3"/>
      <c r="AB32" s="3"/>
      <c r="AC32" s="3"/>
      <c r="AD32" s="3"/>
      <c r="AE32" s="3"/>
    </row>
    <row r="33" spans="1:31" ht="18.95" customHeight="1">
      <c r="A33" s="337" t="s">
        <v>34</v>
      </c>
      <c r="B33" s="323" t="s">
        <v>35</v>
      </c>
      <c r="C33" s="238"/>
      <c r="D33" s="235"/>
      <c r="E33" s="236"/>
      <c r="F33" s="238"/>
      <c r="G33" s="235"/>
      <c r="H33" s="236"/>
      <c r="I33" s="238"/>
      <c r="J33" s="235"/>
      <c r="K33" s="236"/>
      <c r="L33" s="238"/>
      <c r="M33" s="235"/>
      <c r="N33" s="236"/>
      <c r="O33" s="238"/>
      <c r="P33" s="235"/>
      <c r="Q33" s="236"/>
      <c r="R33" s="238"/>
      <c r="S33" s="235"/>
      <c r="T33" s="236"/>
      <c r="U33" s="234">
        <f t="shared" si="3"/>
        <v>0</v>
      </c>
      <c r="V33" s="235">
        <f t="shared" si="3"/>
        <v>0</v>
      </c>
      <c r="W33" s="236">
        <f t="shared" si="4"/>
        <v>0</v>
      </c>
      <c r="X33" s="3"/>
      <c r="Y33" s="3"/>
      <c r="Z33" s="3"/>
      <c r="AA33" s="3"/>
      <c r="AB33" s="3"/>
      <c r="AC33" s="3"/>
      <c r="AD33" s="3"/>
      <c r="AE33" s="3"/>
    </row>
    <row r="34" spans="1:31" ht="18.95" customHeight="1">
      <c r="A34" s="337" t="s">
        <v>36</v>
      </c>
      <c r="B34" s="323" t="s">
        <v>1618</v>
      </c>
      <c r="C34" s="238"/>
      <c r="D34" s="235"/>
      <c r="E34" s="236"/>
      <c r="F34" s="238"/>
      <c r="G34" s="235"/>
      <c r="H34" s="236"/>
      <c r="I34" s="238"/>
      <c r="J34" s="235"/>
      <c r="K34" s="236"/>
      <c r="L34" s="238"/>
      <c r="M34" s="235"/>
      <c r="N34" s="236"/>
      <c r="O34" s="238"/>
      <c r="P34" s="235"/>
      <c r="Q34" s="236"/>
      <c r="R34" s="238"/>
      <c r="S34" s="235"/>
      <c r="T34" s="236"/>
      <c r="U34" s="234">
        <f t="shared" si="3"/>
        <v>0</v>
      </c>
      <c r="V34" s="235">
        <f t="shared" si="3"/>
        <v>0</v>
      </c>
      <c r="W34" s="236">
        <f t="shared" si="4"/>
        <v>0</v>
      </c>
      <c r="X34" s="3"/>
      <c r="Y34" s="3"/>
      <c r="Z34" s="3"/>
      <c r="AA34" s="3"/>
      <c r="AB34" s="3"/>
      <c r="AC34" s="3"/>
      <c r="AD34" s="3"/>
      <c r="AE34" s="3"/>
    </row>
    <row r="35" spans="1:31" ht="18.95" customHeight="1">
      <c r="A35" s="341" t="s">
        <v>37</v>
      </c>
      <c r="B35" s="328" t="s">
        <v>38</v>
      </c>
      <c r="C35" s="243"/>
      <c r="D35" s="244"/>
      <c r="E35" s="245"/>
      <c r="F35" s="243"/>
      <c r="G35" s="244"/>
      <c r="H35" s="245"/>
      <c r="I35" s="243"/>
      <c r="J35" s="244"/>
      <c r="K35" s="245"/>
      <c r="L35" s="243"/>
      <c r="M35" s="244"/>
      <c r="N35" s="245"/>
      <c r="O35" s="243"/>
      <c r="P35" s="244"/>
      <c r="Q35" s="245"/>
      <c r="R35" s="243"/>
      <c r="S35" s="244"/>
      <c r="T35" s="245"/>
      <c r="U35" s="246">
        <f>SUM(C35,F35,I35,L35,O35,R35)</f>
        <v>0</v>
      </c>
      <c r="V35" s="244">
        <f>SUM(D35,G35,J35,M35,P35,S35)</f>
        <v>0</v>
      </c>
      <c r="W35" s="245">
        <f t="shared" si="4"/>
        <v>0</v>
      </c>
      <c r="X35" s="3"/>
      <c r="Y35" s="3"/>
      <c r="Z35" s="3"/>
      <c r="AA35" s="3"/>
      <c r="AB35" s="3"/>
      <c r="AC35" s="3"/>
      <c r="AD35" s="3"/>
      <c r="AE35" s="3"/>
    </row>
    <row r="36" spans="1:31" ht="18.95" customHeight="1">
      <c r="A36" s="337" t="s">
        <v>39</v>
      </c>
      <c r="B36" s="324" t="s">
        <v>1619</v>
      </c>
      <c r="C36" s="238"/>
      <c r="D36" s="235"/>
      <c r="E36" s="236"/>
      <c r="F36" s="238"/>
      <c r="G36" s="235"/>
      <c r="H36" s="236"/>
      <c r="I36" s="238"/>
      <c r="J36" s="235"/>
      <c r="K36" s="236"/>
      <c r="L36" s="238"/>
      <c r="M36" s="235"/>
      <c r="N36" s="236"/>
      <c r="O36" s="238"/>
      <c r="P36" s="235"/>
      <c r="Q36" s="236"/>
      <c r="R36" s="238"/>
      <c r="S36" s="235"/>
      <c r="T36" s="236"/>
      <c r="U36" s="234">
        <f>C36+F36+I36+L36+O36+R36</f>
        <v>0</v>
      </c>
      <c r="V36" s="235">
        <f>D36+G36+J36+M36+P36+S36</f>
        <v>0</v>
      </c>
      <c r="W36" s="236">
        <f t="shared" si="4"/>
        <v>0</v>
      </c>
      <c r="X36" s="3"/>
      <c r="Y36" s="3"/>
      <c r="Z36" s="3"/>
      <c r="AA36" s="3"/>
      <c r="AB36" s="3"/>
      <c r="AC36" s="3"/>
      <c r="AD36" s="3"/>
      <c r="AE36" s="3"/>
    </row>
    <row r="37" spans="1:31" ht="18.75" customHeight="1">
      <c r="A37" s="337" t="s">
        <v>40</v>
      </c>
      <c r="B37" s="329" t="s">
        <v>41</v>
      </c>
      <c r="C37" s="238"/>
      <c r="D37" s="235"/>
      <c r="E37" s="236"/>
      <c r="F37" s="238"/>
      <c r="G37" s="235"/>
      <c r="H37" s="236"/>
      <c r="I37" s="238"/>
      <c r="J37" s="235"/>
      <c r="K37" s="236"/>
      <c r="L37" s="238"/>
      <c r="M37" s="235"/>
      <c r="N37" s="236"/>
      <c r="O37" s="238"/>
      <c r="P37" s="235"/>
      <c r="Q37" s="236"/>
      <c r="R37" s="238"/>
      <c r="S37" s="235"/>
      <c r="T37" s="236"/>
      <c r="U37" s="234">
        <f>C37+F37+I37+L37+O37+R37</f>
        <v>0</v>
      </c>
      <c r="V37" s="235">
        <f>D37+G37+J37+M37+P37+S37</f>
        <v>0</v>
      </c>
      <c r="W37" s="236">
        <f t="shared" si="4"/>
        <v>0</v>
      </c>
      <c r="X37" s="3"/>
      <c r="Y37" s="3"/>
      <c r="Z37" s="3"/>
      <c r="AA37" s="3"/>
      <c r="AB37" s="3"/>
      <c r="AC37" s="3"/>
      <c r="AD37" s="3"/>
      <c r="AE37" s="3"/>
    </row>
    <row r="38" spans="1:31" ht="18.95" customHeight="1">
      <c r="A38" s="337" t="s">
        <v>42</v>
      </c>
      <c r="B38" s="323" t="s">
        <v>43</v>
      </c>
      <c r="C38" s="238"/>
      <c r="D38" s="235"/>
      <c r="E38" s="236"/>
      <c r="F38" s="238"/>
      <c r="G38" s="235"/>
      <c r="H38" s="236"/>
      <c r="I38" s="238"/>
      <c r="J38" s="235"/>
      <c r="K38" s="236"/>
      <c r="L38" s="238"/>
      <c r="M38" s="235"/>
      <c r="N38" s="236"/>
      <c r="O38" s="238"/>
      <c r="P38" s="235"/>
      <c r="Q38" s="236"/>
      <c r="R38" s="238"/>
      <c r="S38" s="235"/>
      <c r="T38" s="236"/>
      <c r="U38" s="234">
        <f>SUM(C38,F38,I38,L38,O38,R38)</f>
        <v>0</v>
      </c>
      <c r="V38" s="235">
        <f>SUM(D38,G38,J38,M38,P38,S38)</f>
        <v>0</v>
      </c>
      <c r="W38" s="236">
        <f t="shared" si="4"/>
        <v>0</v>
      </c>
      <c r="X38" s="3"/>
      <c r="Y38" s="3"/>
      <c r="Z38" s="3"/>
      <c r="AA38" s="3"/>
      <c r="AB38" s="3"/>
      <c r="AC38" s="3"/>
      <c r="AD38" s="3"/>
      <c r="AE38" s="3"/>
    </row>
    <row r="39" spans="1:31" ht="18.95" customHeight="1">
      <c r="A39" s="337" t="s">
        <v>44</v>
      </c>
      <c r="B39" s="323" t="s">
        <v>45</v>
      </c>
      <c r="C39" s="238"/>
      <c r="D39" s="235"/>
      <c r="E39" s="236"/>
      <c r="F39" s="238"/>
      <c r="G39" s="235"/>
      <c r="H39" s="236"/>
      <c r="I39" s="238"/>
      <c r="J39" s="235"/>
      <c r="K39" s="236"/>
      <c r="L39" s="238"/>
      <c r="M39" s="235"/>
      <c r="N39" s="236"/>
      <c r="O39" s="238"/>
      <c r="P39" s="235"/>
      <c r="Q39" s="236"/>
      <c r="R39" s="238"/>
      <c r="S39" s="235"/>
      <c r="T39" s="236"/>
      <c r="U39" s="234">
        <f>C39+F39+I39+L39+O39+R39</f>
        <v>0</v>
      </c>
      <c r="V39" s="235">
        <f>D39+G39+J39+M39+P39+S39</f>
        <v>0</v>
      </c>
      <c r="W39" s="236">
        <f t="shared" si="4"/>
        <v>0</v>
      </c>
      <c r="X39" s="3"/>
      <c r="Y39" s="3"/>
      <c r="Z39" s="3"/>
      <c r="AA39" s="3"/>
      <c r="AB39" s="3"/>
      <c r="AC39" s="3"/>
      <c r="AD39" s="3"/>
      <c r="AE39" s="3"/>
    </row>
    <row r="40" spans="1:31" ht="19.5" customHeight="1">
      <c r="A40" s="272" t="s">
        <v>46</v>
      </c>
      <c r="B40" s="326"/>
      <c r="C40" s="277"/>
      <c r="D40" s="278"/>
      <c r="E40" s="278"/>
      <c r="F40" s="278"/>
      <c r="G40" s="278"/>
      <c r="H40" s="278"/>
      <c r="I40" s="278"/>
      <c r="J40" s="278"/>
      <c r="K40" s="278"/>
      <c r="L40" s="278"/>
      <c r="M40" s="278"/>
      <c r="N40" s="278"/>
      <c r="O40" s="278"/>
      <c r="P40" s="278"/>
      <c r="Q40" s="278"/>
      <c r="R40" s="278"/>
      <c r="S40" s="278"/>
      <c r="T40" s="278"/>
      <c r="U40" s="278"/>
      <c r="V40" s="278"/>
      <c r="W40" s="278"/>
      <c r="X40" s="262"/>
      <c r="Y40" s="262"/>
      <c r="Z40" s="262"/>
      <c r="AA40" s="262"/>
      <c r="AB40" s="262"/>
      <c r="AC40" s="262"/>
      <c r="AD40" s="3"/>
      <c r="AE40" s="3"/>
    </row>
    <row r="41" spans="1:31" ht="31.5" customHeight="1">
      <c r="A41" s="337" t="s">
        <v>47</v>
      </c>
      <c r="B41" s="329" t="s">
        <v>48</v>
      </c>
      <c r="C41" s="238"/>
      <c r="D41" s="235"/>
      <c r="E41" s="236"/>
      <c r="F41" s="238"/>
      <c r="G41" s="235"/>
      <c r="H41" s="236"/>
      <c r="I41" s="238"/>
      <c r="J41" s="235"/>
      <c r="K41" s="236"/>
      <c r="L41" s="238"/>
      <c r="M41" s="235"/>
      <c r="N41" s="236"/>
      <c r="O41" s="238"/>
      <c r="P41" s="235"/>
      <c r="Q41" s="236"/>
      <c r="R41" s="238"/>
      <c r="S41" s="235"/>
      <c r="T41" s="236"/>
      <c r="U41" s="234">
        <f>+SUM(F41,C41,I41,L41:M41,O41,R41)</f>
        <v>0</v>
      </c>
      <c r="V41" s="235">
        <f t="shared" ref="V41:V46" si="5">D41+G41+J41+M41+P41+S41</f>
        <v>0</v>
      </c>
      <c r="W41" s="236">
        <f>SUM(E41,H41,K41,N41,Q41,T41)</f>
        <v>0</v>
      </c>
      <c r="X41" s="3"/>
      <c r="Y41" s="3"/>
      <c r="Z41" s="3"/>
      <c r="AA41" s="3"/>
      <c r="AB41" s="3"/>
      <c r="AC41" s="3"/>
      <c r="AD41" s="3"/>
      <c r="AE41" s="3"/>
    </row>
    <row r="42" spans="1:31" ht="19.5" customHeight="1">
      <c r="A42" s="337" t="s">
        <v>49</v>
      </c>
      <c r="B42" s="323" t="s">
        <v>50</v>
      </c>
      <c r="C42" s="238"/>
      <c r="D42" s="235"/>
      <c r="E42" s="236"/>
      <c r="F42" s="238"/>
      <c r="G42" s="235"/>
      <c r="H42" s="236"/>
      <c r="I42" s="238"/>
      <c r="J42" s="235"/>
      <c r="K42" s="236"/>
      <c r="L42" s="238"/>
      <c r="M42" s="235"/>
      <c r="N42" s="236"/>
      <c r="O42" s="238"/>
      <c r="P42" s="235"/>
      <c r="Q42" s="236"/>
      <c r="R42" s="238"/>
      <c r="S42" s="235"/>
      <c r="T42" s="236"/>
      <c r="U42" s="234">
        <f>C42+F42+I42+L42+O42+R42</f>
        <v>0</v>
      </c>
      <c r="V42" s="235">
        <f t="shared" si="5"/>
        <v>0</v>
      </c>
      <c r="W42" s="236">
        <f t="shared" ref="W42:W48" si="6">SUM(E42,H42,K42,N42,Q42,T42)</f>
        <v>0</v>
      </c>
      <c r="X42" s="3"/>
      <c r="Y42" s="3"/>
      <c r="Z42" s="3"/>
      <c r="AA42" s="3"/>
      <c r="AB42" s="3"/>
      <c r="AC42" s="3"/>
      <c r="AD42" s="3"/>
      <c r="AE42" s="3"/>
    </row>
    <row r="43" spans="1:31" ht="19.5" customHeight="1">
      <c r="A43" s="337" t="s">
        <v>51</v>
      </c>
      <c r="B43" s="323" t="s">
        <v>52</v>
      </c>
      <c r="C43" s="238"/>
      <c r="D43" s="235"/>
      <c r="E43" s="236"/>
      <c r="F43" s="238"/>
      <c r="G43" s="235"/>
      <c r="H43" s="236"/>
      <c r="I43" s="238"/>
      <c r="J43" s="235"/>
      <c r="K43" s="236"/>
      <c r="L43" s="238"/>
      <c r="M43" s="235"/>
      <c r="N43" s="236"/>
      <c r="O43" s="238"/>
      <c r="P43" s="235"/>
      <c r="Q43" s="236"/>
      <c r="R43" s="238"/>
      <c r="S43" s="235"/>
      <c r="T43" s="236"/>
      <c r="U43" s="234">
        <f>C43+F43+I43+L43+O43+R43</f>
        <v>0</v>
      </c>
      <c r="V43" s="235">
        <f t="shared" si="5"/>
        <v>0</v>
      </c>
      <c r="W43" s="236">
        <f t="shared" si="6"/>
        <v>0</v>
      </c>
      <c r="X43" s="3"/>
      <c r="Y43" s="3"/>
      <c r="Z43" s="3"/>
      <c r="AA43" s="3"/>
      <c r="AB43" s="3"/>
      <c r="AC43" s="3"/>
      <c r="AD43" s="3"/>
      <c r="AE43" s="3"/>
    </row>
    <row r="44" spans="1:31" ht="17.25" customHeight="1">
      <c r="A44" s="337" t="s">
        <v>53</v>
      </c>
      <c r="B44" s="323" t="s">
        <v>54</v>
      </c>
      <c r="C44" s="238"/>
      <c r="D44" s="235"/>
      <c r="E44" s="236"/>
      <c r="F44" s="238"/>
      <c r="G44" s="235"/>
      <c r="H44" s="236"/>
      <c r="I44" s="238"/>
      <c r="J44" s="235"/>
      <c r="K44" s="236"/>
      <c r="L44" s="238"/>
      <c r="M44" s="235"/>
      <c r="N44" s="236"/>
      <c r="O44" s="238"/>
      <c r="P44" s="235"/>
      <c r="Q44" s="236"/>
      <c r="R44" s="238"/>
      <c r="S44" s="235"/>
      <c r="T44" s="236"/>
      <c r="U44" s="234">
        <f>C44+F44+I44+L44+O44+R44</f>
        <v>0</v>
      </c>
      <c r="V44" s="235">
        <f t="shared" si="5"/>
        <v>0</v>
      </c>
      <c r="W44" s="236">
        <f t="shared" si="6"/>
        <v>0</v>
      </c>
      <c r="X44" s="3"/>
      <c r="Y44" s="3"/>
      <c r="Z44" s="3"/>
      <c r="AA44" s="3"/>
      <c r="AB44" s="3"/>
      <c r="AC44" s="3"/>
      <c r="AD44" s="3"/>
      <c r="AE44" s="3"/>
    </row>
    <row r="45" spans="1:31" ht="18.75" customHeight="1">
      <c r="A45" s="342" t="s">
        <v>55</v>
      </c>
      <c r="B45" s="329" t="s">
        <v>56</v>
      </c>
      <c r="C45" s="238"/>
      <c r="D45" s="235"/>
      <c r="E45" s="236"/>
      <c r="F45" s="238"/>
      <c r="G45" s="235"/>
      <c r="H45" s="236"/>
      <c r="I45" s="238"/>
      <c r="J45" s="235"/>
      <c r="K45" s="236"/>
      <c r="L45" s="238"/>
      <c r="M45" s="235"/>
      <c r="N45" s="236"/>
      <c r="O45" s="238"/>
      <c r="P45" s="235"/>
      <c r="Q45" s="236"/>
      <c r="R45" s="238"/>
      <c r="S45" s="235"/>
      <c r="T45" s="236"/>
      <c r="U45" s="234">
        <f>C45+F45+I45+L45+O45+R45</f>
        <v>0</v>
      </c>
      <c r="V45" s="235">
        <f t="shared" si="5"/>
        <v>0</v>
      </c>
      <c r="W45" s="236">
        <f t="shared" si="6"/>
        <v>0</v>
      </c>
      <c r="X45" s="3"/>
      <c r="Y45" s="3"/>
      <c r="Z45" s="3"/>
      <c r="AA45" s="3"/>
      <c r="AB45" s="3"/>
      <c r="AC45" s="3"/>
      <c r="AD45" s="3"/>
      <c r="AE45" s="3"/>
    </row>
    <row r="46" spans="1:31" ht="20.25" customHeight="1">
      <c r="A46" s="337" t="s">
        <v>57</v>
      </c>
      <c r="B46" s="329" t="s">
        <v>58</v>
      </c>
      <c r="C46" s="238"/>
      <c r="D46" s="235"/>
      <c r="E46" s="236"/>
      <c r="F46" s="238"/>
      <c r="G46" s="235"/>
      <c r="H46" s="236"/>
      <c r="I46" s="238"/>
      <c r="J46" s="235"/>
      <c r="K46" s="236"/>
      <c r="L46" s="238"/>
      <c r="M46" s="235"/>
      <c r="N46" s="236"/>
      <c r="O46" s="238"/>
      <c r="P46" s="235"/>
      <c r="Q46" s="236"/>
      <c r="R46" s="238"/>
      <c r="S46" s="235"/>
      <c r="T46" s="236"/>
      <c r="U46" s="234">
        <f>C46+F46+I46+L46+O46+R46</f>
        <v>0</v>
      </c>
      <c r="V46" s="235">
        <f t="shared" si="5"/>
        <v>0</v>
      </c>
      <c r="W46" s="236">
        <f t="shared" si="6"/>
        <v>0</v>
      </c>
      <c r="X46" s="3"/>
      <c r="Y46" s="3"/>
      <c r="Z46" s="3"/>
      <c r="AA46" s="3"/>
      <c r="AB46" s="3"/>
      <c r="AC46" s="3"/>
      <c r="AD46" s="3"/>
      <c r="AE46" s="3"/>
    </row>
    <row r="47" spans="1:31" ht="18.95" customHeight="1">
      <c r="A47" s="337" t="s">
        <v>59</v>
      </c>
      <c r="B47" s="329" t="s">
        <v>60</v>
      </c>
      <c r="C47" s="238"/>
      <c r="D47" s="235"/>
      <c r="E47" s="236"/>
      <c r="F47" s="238"/>
      <c r="G47" s="235"/>
      <c r="H47" s="236"/>
      <c r="I47" s="238"/>
      <c r="J47" s="235"/>
      <c r="K47" s="236"/>
      <c r="L47" s="238"/>
      <c r="M47" s="235"/>
      <c r="N47" s="236"/>
      <c r="O47" s="238"/>
      <c r="P47" s="235"/>
      <c r="Q47" s="236"/>
      <c r="R47" s="238"/>
      <c r="S47" s="235"/>
      <c r="T47" s="236"/>
      <c r="U47" s="234">
        <f>SUM(C47,F47,I47,L47,O47,R47)</f>
        <v>0</v>
      </c>
      <c r="V47" s="235">
        <f>SUM(D47,G47,J47,M47,P47,S47)</f>
        <v>0</v>
      </c>
      <c r="W47" s="236">
        <f t="shared" si="6"/>
        <v>0</v>
      </c>
      <c r="X47" s="3"/>
      <c r="Y47" s="3"/>
      <c r="Z47" s="3"/>
      <c r="AA47" s="3"/>
      <c r="AB47" s="3"/>
      <c r="AC47" s="3"/>
      <c r="AD47" s="3"/>
      <c r="AE47" s="3"/>
    </row>
    <row r="48" spans="1:31" ht="18.95" customHeight="1">
      <c r="A48" s="337" t="s">
        <v>61</v>
      </c>
      <c r="B48" s="323" t="s">
        <v>62</v>
      </c>
      <c r="C48" s="238"/>
      <c r="D48" s="235"/>
      <c r="E48" s="236"/>
      <c r="F48" s="238"/>
      <c r="G48" s="235"/>
      <c r="H48" s="236"/>
      <c r="I48" s="238"/>
      <c r="J48" s="235"/>
      <c r="K48" s="236"/>
      <c r="L48" s="238"/>
      <c r="M48" s="235"/>
      <c r="N48" s="236"/>
      <c r="O48" s="238"/>
      <c r="P48" s="235"/>
      <c r="Q48" s="236"/>
      <c r="R48" s="238"/>
      <c r="S48" s="235"/>
      <c r="T48" s="236"/>
      <c r="U48" s="234">
        <f>SUM(C48,F48,I48,L48,O48,R48)</f>
        <v>0</v>
      </c>
      <c r="V48" s="235">
        <f>SUM(D48,G48,J48,M48,P48,S48)</f>
        <v>0</v>
      </c>
      <c r="W48" s="236">
        <f t="shared" si="6"/>
        <v>0</v>
      </c>
      <c r="X48" s="3"/>
      <c r="Y48" s="3"/>
      <c r="Z48" s="3"/>
      <c r="AA48" s="3"/>
      <c r="AB48" s="3"/>
      <c r="AC48" s="3"/>
      <c r="AD48" s="3"/>
      <c r="AE48" s="3"/>
    </row>
    <row r="49" spans="1:32" ht="18">
      <c r="A49" s="273" t="s">
        <v>63</v>
      </c>
      <c r="B49" s="330"/>
      <c r="C49" s="279"/>
      <c r="D49" s="279"/>
      <c r="E49" s="279"/>
      <c r="F49" s="279"/>
      <c r="G49" s="279"/>
      <c r="H49" s="279"/>
      <c r="I49" s="279"/>
      <c r="J49" s="279"/>
      <c r="K49" s="279"/>
      <c r="L49" s="279"/>
      <c r="M49" s="279"/>
      <c r="N49" s="279"/>
      <c r="O49" s="279"/>
      <c r="P49" s="279"/>
      <c r="Q49" s="279"/>
      <c r="R49" s="279"/>
      <c r="S49" s="279"/>
      <c r="T49" s="279"/>
      <c r="U49" s="279"/>
      <c r="V49" s="279"/>
      <c r="W49" s="279"/>
      <c r="X49" s="262"/>
      <c r="Y49" s="262"/>
      <c r="Z49" s="262"/>
      <c r="AA49" s="262"/>
      <c r="AB49" s="262"/>
      <c r="AC49" s="262"/>
      <c r="AD49" s="3"/>
      <c r="AE49" s="3"/>
    </row>
    <row r="50" spans="1:32" ht="18" customHeight="1">
      <c r="A50" s="337" t="s">
        <v>64</v>
      </c>
      <c r="B50" s="323" t="s">
        <v>65</v>
      </c>
      <c r="C50" s="238"/>
      <c r="D50" s="235"/>
      <c r="E50" s="236"/>
      <c r="F50" s="238"/>
      <c r="G50" s="235"/>
      <c r="H50" s="236"/>
      <c r="I50" s="238"/>
      <c r="J50" s="235"/>
      <c r="K50" s="236"/>
      <c r="L50" s="238"/>
      <c r="M50" s="235"/>
      <c r="N50" s="236"/>
      <c r="O50" s="238"/>
      <c r="P50" s="235"/>
      <c r="Q50" s="236"/>
      <c r="R50" s="238"/>
      <c r="S50" s="235"/>
      <c r="T50" s="236"/>
      <c r="U50" s="234">
        <f>SUM(C50,F50,I50,L50,O50,R50)</f>
        <v>0</v>
      </c>
      <c r="V50" s="235">
        <f>SUM(D50,G50,J50,M50,P50,S50)</f>
        <v>0</v>
      </c>
      <c r="W50" s="236">
        <f>SUM(E50,H50,K50,N50,Q50,T50)</f>
        <v>0</v>
      </c>
      <c r="X50" s="3"/>
      <c r="Y50" s="3"/>
      <c r="Z50" s="3"/>
      <c r="AA50" s="3"/>
      <c r="AB50" s="3"/>
      <c r="AC50" s="3"/>
      <c r="AD50" s="3"/>
      <c r="AE50" s="3"/>
    </row>
    <row r="51" spans="1:32" ht="15.75" customHeight="1">
      <c r="A51" s="337" t="s">
        <v>66</v>
      </c>
      <c r="B51" s="329" t="s">
        <v>67</v>
      </c>
      <c r="C51" s="238"/>
      <c r="D51" s="235"/>
      <c r="E51" s="236"/>
      <c r="F51" s="238"/>
      <c r="G51" s="235"/>
      <c r="H51" s="236"/>
      <c r="I51" s="238"/>
      <c r="J51" s="235"/>
      <c r="K51" s="236"/>
      <c r="L51" s="238"/>
      <c r="M51" s="235"/>
      <c r="N51" s="236"/>
      <c r="O51" s="238"/>
      <c r="P51" s="235"/>
      <c r="Q51" s="236"/>
      <c r="R51" s="238"/>
      <c r="S51" s="235"/>
      <c r="T51" s="236"/>
      <c r="U51" s="234">
        <f t="shared" ref="U51:V53" si="7">C51+F51+I51+L51+O51+R51</f>
        <v>0</v>
      </c>
      <c r="V51" s="235">
        <f t="shared" si="7"/>
        <v>0</v>
      </c>
      <c r="W51" s="236">
        <f t="shared" ref="W51:W57" si="8">SUM(E51,H51,K51,N51,Q51,T51)</f>
        <v>0</v>
      </c>
      <c r="X51" s="3"/>
      <c r="Y51" s="3"/>
      <c r="Z51" s="3"/>
      <c r="AA51" s="3"/>
      <c r="AB51" s="3"/>
      <c r="AC51" s="3"/>
      <c r="AD51" s="3"/>
      <c r="AE51" s="3"/>
    </row>
    <row r="52" spans="1:32" ht="16.5" customHeight="1">
      <c r="A52" s="337" t="s">
        <v>68</v>
      </c>
      <c r="B52" s="323" t="s">
        <v>69</v>
      </c>
      <c r="C52" s="238"/>
      <c r="D52" s="235"/>
      <c r="E52" s="236"/>
      <c r="F52" s="238"/>
      <c r="G52" s="235"/>
      <c r="H52" s="236"/>
      <c r="I52" s="238"/>
      <c r="J52" s="235"/>
      <c r="K52" s="236"/>
      <c r="L52" s="238"/>
      <c r="M52" s="235"/>
      <c r="N52" s="236"/>
      <c r="O52" s="238"/>
      <c r="P52" s="235"/>
      <c r="Q52" s="236"/>
      <c r="R52" s="238"/>
      <c r="S52" s="235"/>
      <c r="T52" s="236"/>
      <c r="U52" s="234">
        <f t="shared" si="7"/>
        <v>0</v>
      </c>
      <c r="V52" s="235">
        <f t="shared" si="7"/>
        <v>0</v>
      </c>
      <c r="W52" s="236">
        <f t="shared" si="8"/>
        <v>0</v>
      </c>
      <c r="X52" s="3"/>
      <c r="Y52" s="3"/>
      <c r="Z52" s="3"/>
      <c r="AA52" s="3"/>
      <c r="AB52" s="3"/>
      <c r="AC52" s="3"/>
      <c r="AD52" s="3"/>
      <c r="AE52" s="3"/>
    </row>
    <row r="53" spans="1:32" ht="18.95" customHeight="1">
      <c r="A53" s="337" t="s">
        <v>70</v>
      </c>
      <c r="B53" s="323" t="s">
        <v>71</v>
      </c>
      <c r="C53" s="238"/>
      <c r="D53" s="235"/>
      <c r="E53" s="236"/>
      <c r="F53" s="238"/>
      <c r="G53" s="235"/>
      <c r="H53" s="236"/>
      <c r="I53" s="238"/>
      <c r="J53" s="235"/>
      <c r="K53" s="236"/>
      <c r="L53" s="238"/>
      <c r="M53" s="235"/>
      <c r="N53" s="236"/>
      <c r="O53" s="238"/>
      <c r="P53" s="235"/>
      <c r="Q53" s="236"/>
      <c r="R53" s="238"/>
      <c r="S53" s="235"/>
      <c r="T53" s="236"/>
      <c r="U53" s="234">
        <f t="shared" si="7"/>
        <v>0</v>
      </c>
      <c r="V53" s="235">
        <f t="shared" si="7"/>
        <v>0</v>
      </c>
      <c r="W53" s="236">
        <f t="shared" si="8"/>
        <v>0</v>
      </c>
      <c r="X53" s="3"/>
      <c r="Y53" s="3"/>
      <c r="Z53" s="3"/>
      <c r="AA53" s="3"/>
      <c r="AB53" s="3"/>
      <c r="AC53" s="3"/>
      <c r="AD53" s="3"/>
      <c r="AE53" s="3"/>
    </row>
    <row r="54" spans="1:32" ht="18.95" customHeight="1">
      <c r="A54" s="337" t="s">
        <v>72</v>
      </c>
      <c r="B54" s="323" t="s">
        <v>73</v>
      </c>
      <c r="C54" s="238"/>
      <c r="D54" s="235"/>
      <c r="E54" s="236"/>
      <c r="F54" s="238"/>
      <c r="G54" s="235"/>
      <c r="H54" s="236"/>
      <c r="I54" s="238"/>
      <c r="J54" s="235"/>
      <c r="K54" s="236"/>
      <c r="L54" s="238"/>
      <c r="M54" s="235"/>
      <c r="N54" s="236"/>
      <c r="O54" s="238"/>
      <c r="P54" s="235"/>
      <c r="Q54" s="236"/>
      <c r="R54" s="238"/>
      <c r="S54" s="235"/>
      <c r="T54" s="236"/>
      <c r="U54" s="234">
        <f>SUM(C54,F54,I54,L54,O54,R54)</f>
        <v>0</v>
      </c>
      <c r="V54" s="235">
        <f>SUM(D54,G54,J54,M54,P54,S54)</f>
        <v>0</v>
      </c>
      <c r="W54" s="236">
        <f t="shared" si="8"/>
        <v>0</v>
      </c>
      <c r="X54" s="3"/>
      <c r="Y54" s="3"/>
      <c r="Z54" s="3"/>
      <c r="AA54" s="3"/>
      <c r="AB54" s="3"/>
      <c r="AC54" s="3"/>
      <c r="AD54" s="3"/>
      <c r="AE54" s="3"/>
    </row>
    <row r="55" spans="1:32" ht="32.25" customHeight="1">
      <c r="A55" s="337" t="s">
        <v>74</v>
      </c>
      <c r="B55" s="329" t="s">
        <v>75</v>
      </c>
      <c r="C55" s="238"/>
      <c r="D55" s="235"/>
      <c r="E55" s="236"/>
      <c r="F55" s="238"/>
      <c r="G55" s="235"/>
      <c r="H55" s="236"/>
      <c r="I55" s="238"/>
      <c r="J55" s="235"/>
      <c r="K55" s="236"/>
      <c r="L55" s="238"/>
      <c r="M55" s="235"/>
      <c r="N55" s="236"/>
      <c r="O55" s="238"/>
      <c r="P55" s="235"/>
      <c r="Q55" s="236"/>
      <c r="R55" s="238"/>
      <c r="S55" s="235"/>
      <c r="T55" s="236"/>
      <c r="U55" s="234">
        <f t="shared" ref="U55:V57" si="9">C55+F55+I55+L55+O55+R55</f>
        <v>0</v>
      </c>
      <c r="V55" s="235">
        <f t="shared" si="9"/>
        <v>0</v>
      </c>
      <c r="W55" s="236">
        <f t="shared" si="8"/>
        <v>0</v>
      </c>
      <c r="X55" s="3"/>
      <c r="Y55" s="3"/>
      <c r="Z55" s="3"/>
      <c r="AA55" s="3"/>
      <c r="AB55" s="3"/>
      <c r="AC55" s="3"/>
      <c r="AD55" s="3"/>
      <c r="AE55" s="3"/>
    </row>
    <row r="56" spans="1:32" ht="31.5" customHeight="1">
      <c r="A56" s="337" t="s">
        <v>76</v>
      </c>
      <c r="B56" s="329" t="s">
        <v>77</v>
      </c>
      <c r="C56" s="238"/>
      <c r="D56" s="235"/>
      <c r="E56" s="236"/>
      <c r="F56" s="238"/>
      <c r="G56" s="235"/>
      <c r="H56" s="236"/>
      <c r="I56" s="238"/>
      <c r="J56" s="235"/>
      <c r="K56" s="236"/>
      <c r="L56" s="238"/>
      <c r="M56" s="235"/>
      <c r="N56" s="236"/>
      <c r="O56" s="238"/>
      <c r="P56" s="235"/>
      <c r="Q56" s="236"/>
      <c r="R56" s="238"/>
      <c r="S56" s="235"/>
      <c r="T56" s="236"/>
      <c r="U56" s="234">
        <f t="shared" si="9"/>
        <v>0</v>
      </c>
      <c r="V56" s="235">
        <f t="shared" si="9"/>
        <v>0</v>
      </c>
      <c r="W56" s="236">
        <f t="shared" si="8"/>
        <v>0</v>
      </c>
      <c r="X56" s="3"/>
      <c r="Y56" s="3"/>
      <c r="Z56" s="3"/>
      <c r="AA56" s="3"/>
      <c r="AB56" s="3"/>
      <c r="AC56" s="3"/>
      <c r="AD56" s="3"/>
      <c r="AE56" s="3"/>
    </row>
    <row r="57" spans="1:32" ht="18">
      <c r="A57" s="337" t="s">
        <v>78</v>
      </c>
      <c r="B57" s="329" t="s">
        <v>79</v>
      </c>
      <c r="C57" s="238"/>
      <c r="D57" s="235"/>
      <c r="E57" s="236"/>
      <c r="F57" s="238"/>
      <c r="G57" s="235"/>
      <c r="H57" s="236"/>
      <c r="I57" s="238"/>
      <c r="J57" s="235"/>
      <c r="K57" s="236"/>
      <c r="L57" s="238"/>
      <c r="M57" s="235"/>
      <c r="N57" s="236"/>
      <c r="O57" s="238"/>
      <c r="P57" s="235"/>
      <c r="Q57" s="236"/>
      <c r="R57" s="238"/>
      <c r="S57" s="235"/>
      <c r="T57" s="236"/>
      <c r="U57" s="234">
        <f t="shared" si="9"/>
        <v>0</v>
      </c>
      <c r="V57" s="235">
        <f t="shared" si="9"/>
        <v>0</v>
      </c>
      <c r="W57" s="236">
        <f t="shared" si="8"/>
        <v>0</v>
      </c>
      <c r="X57" s="3"/>
      <c r="Y57" s="3"/>
      <c r="Z57" s="3"/>
      <c r="AA57" s="3"/>
      <c r="AB57" s="3"/>
      <c r="AC57" s="3"/>
      <c r="AD57" s="3"/>
      <c r="AE57" s="3"/>
    </row>
    <row r="58" spans="1:32" ht="18">
      <c r="A58" s="274" t="s">
        <v>80</v>
      </c>
      <c r="B58" s="331"/>
      <c r="C58" s="280"/>
      <c r="D58" s="280"/>
      <c r="E58" s="280"/>
      <c r="F58" s="280"/>
      <c r="G58" s="280"/>
      <c r="H58" s="280"/>
      <c r="I58" s="280"/>
      <c r="J58" s="280"/>
      <c r="K58" s="280"/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62"/>
      <c r="Y58" s="262"/>
      <c r="Z58" s="262"/>
      <c r="AA58" s="262"/>
      <c r="AB58" s="262"/>
      <c r="AC58" s="262"/>
      <c r="AD58" s="3"/>
      <c r="AE58" s="3"/>
      <c r="AF58" s="3"/>
    </row>
    <row r="59" spans="1:32" ht="18.95" customHeight="1">
      <c r="A59" s="337" t="s">
        <v>81</v>
      </c>
      <c r="B59" s="323" t="s">
        <v>82</v>
      </c>
      <c r="C59" s="243"/>
      <c r="D59" s="244"/>
      <c r="E59" s="245"/>
      <c r="F59" s="243"/>
      <c r="G59" s="244"/>
      <c r="H59" s="245"/>
      <c r="I59" s="243"/>
      <c r="J59" s="244"/>
      <c r="K59" s="245"/>
      <c r="L59" s="243"/>
      <c r="M59" s="244"/>
      <c r="N59" s="245"/>
      <c r="O59" s="243"/>
      <c r="P59" s="244"/>
      <c r="Q59" s="245"/>
      <c r="R59" s="243"/>
      <c r="S59" s="244"/>
      <c r="T59" s="245"/>
      <c r="U59" s="246">
        <f>C59+F59+I59+L59+O59+R59</f>
        <v>0</v>
      </c>
      <c r="V59" s="244">
        <f>D59+G59+J59+M59+P59+S59</f>
        <v>0</v>
      </c>
      <c r="W59" s="245">
        <f>SUM(E59,H59,K59,N59,Q59)</f>
        <v>0</v>
      </c>
      <c r="X59" s="3"/>
      <c r="Y59" s="3"/>
      <c r="Z59" s="3"/>
      <c r="AA59" s="3"/>
      <c r="AB59" s="3"/>
      <c r="AC59" s="3"/>
      <c r="AD59" s="3"/>
      <c r="AE59" s="3"/>
      <c r="AF59" s="3"/>
    </row>
    <row r="60" spans="1:32" ht="18.75" customHeight="1">
      <c r="A60" s="337" t="s">
        <v>83</v>
      </c>
      <c r="B60" s="329" t="s">
        <v>84</v>
      </c>
      <c r="C60" s="238"/>
      <c r="D60" s="235"/>
      <c r="E60" s="236"/>
      <c r="F60" s="238"/>
      <c r="G60" s="235"/>
      <c r="H60" s="236"/>
      <c r="I60" s="238"/>
      <c r="J60" s="235"/>
      <c r="K60" s="236"/>
      <c r="L60" s="238"/>
      <c r="M60" s="235"/>
      <c r="N60" s="236"/>
      <c r="O60" s="238"/>
      <c r="P60" s="235"/>
      <c r="Q60" s="236"/>
      <c r="R60" s="238"/>
      <c r="S60" s="235"/>
      <c r="T60" s="236"/>
      <c r="U60" s="234">
        <f>C60+F60+I60+L60+O60+R60</f>
        <v>0</v>
      </c>
      <c r="V60" s="235">
        <f>D60+G60+J60+M60+P60+S60</f>
        <v>0</v>
      </c>
      <c r="W60" s="236">
        <f t="shared" ref="W60:W64" si="10">SUM(E60,H60,K60,N60,Q60)</f>
        <v>0</v>
      </c>
      <c r="X60" s="3"/>
      <c r="Y60" s="3"/>
      <c r="Z60" s="3"/>
      <c r="AA60" s="3"/>
      <c r="AB60" s="3"/>
      <c r="AC60" s="3"/>
      <c r="AD60" s="3"/>
      <c r="AE60" s="3"/>
      <c r="AF60" s="3"/>
    </row>
    <row r="61" spans="1:32" ht="20.25" customHeight="1">
      <c r="A61" s="339" t="s">
        <v>85</v>
      </c>
      <c r="B61" s="324" t="s">
        <v>86</v>
      </c>
      <c r="C61" s="238"/>
      <c r="D61" s="235"/>
      <c r="E61" s="236"/>
      <c r="F61" s="238"/>
      <c r="G61" s="235"/>
      <c r="H61" s="236"/>
      <c r="I61" s="238"/>
      <c r="J61" s="235"/>
      <c r="K61" s="236"/>
      <c r="L61" s="238"/>
      <c r="M61" s="235"/>
      <c r="N61" s="236"/>
      <c r="O61" s="238"/>
      <c r="P61" s="235"/>
      <c r="Q61" s="236"/>
      <c r="R61" s="238"/>
      <c r="S61" s="235"/>
      <c r="T61" s="236"/>
      <c r="U61" s="234">
        <f t="shared" ref="U61:V64" si="11">SUM(C61,F61,I61,L61,O61,R61)</f>
        <v>0</v>
      </c>
      <c r="V61" s="235">
        <f t="shared" si="11"/>
        <v>0</v>
      </c>
      <c r="W61" s="236">
        <f t="shared" si="10"/>
        <v>0</v>
      </c>
      <c r="X61" s="3"/>
      <c r="Y61" s="3"/>
      <c r="Z61" s="3"/>
      <c r="AA61" s="3"/>
      <c r="AB61" s="3"/>
      <c r="AC61" s="3"/>
      <c r="AD61" s="3"/>
      <c r="AE61" s="3"/>
      <c r="AF61" s="3"/>
    </row>
    <row r="62" spans="1:32" ht="18.95" customHeight="1">
      <c r="A62" s="337" t="s">
        <v>87</v>
      </c>
      <c r="B62" s="323" t="s">
        <v>88</v>
      </c>
      <c r="C62" s="238"/>
      <c r="D62" s="235"/>
      <c r="E62" s="236"/>
      <c r="F62" s="238"/>
      <c r="G62" s="235"/>
      <c r="H62" s="236"/>
      <c r="I62" s="238"/>
      <c r="J62" s="235"/>
      <c r="K62" s="236"/>
      <c r="L62" s="238"/>
      <c r="M62" s="235"/>
      <c r="N62" s="236"/>
      <c r="O62" s="238"/>
      <c r="P62" s="235"/>
      <c r="Q62" s="236"/>
      <c r="R62" s="238"/>
      <c r="S62" s="235"/>
      <c r="T62" s="236"/>
      <c r="U62" s="234">
        <f t="shared" si="11"/>
        <v>0</v>
      </c>
      <c r="V62" s="235">
        <f t="shared" si="11"/>
        <v>0</v>
      </c>
      <c r="W62" s="236">
        <f t="shared" si="10"/>
        <v>0</v>
      </c>
      <c r="X62" s="3"/>
      <c r="Y62" s="3"/>
      <c r="Z62" s="3"/>
      <c r="AA62" s="3"/>
      <c r="AB62" s="3"/>
      <c r="AC62" s="3"/>
      <c r="AD62" s="3"/>
      <c r="AE62" s="3"/>
      <c r="AF62" s="3"/>
    </row>
    <row r="63" spans="1:32" ht="18.95" customHeight="1">
      <c r="A63" s="337" t="s">
        <v>89</v>
      </c>
      <c r="B63" s="323" t="s">
        <v>90</v>
      </c>
      <c r="C63" s="238"/>
      <c r="D63" s="235"/>
      <c r="E63" s="236"/>
      <c r="F63" s="238"/>
      <c r="G63" s="235"/>
      <c r="H63" s="236"/>
      <c r="I63" s="238"/>
      <c r="J63" s="235"/>
      <c r="K63" s="236"/>
      <c r="L63" s="238"/>
      <c r="M63" s="235"/>
      <c r="N63" s="236"/>
      <c r="O63" s="238"/>
      <c r="P63" s="235"/>
      <c r="Q63" s="236"/>
      <c r="R63" s="238"/>
      <c r="S63" s="235"/>
      <c r="T63" s="236"/>
      <c r="U63" s="234">
        <f t="shared" si="11"/>
        <v>0</v>
      </c>
      <c r="V63" s="235">
        <f t="shared" si="11"/>
        <v>0</v>
      </c>
      <c r="W63" s="236">
        <f t="shared" si="10"/>
        <v>0</v>
      </c>
      <c r="X63" s="3"/>
      <c r="Y63" s="3"/>
      <c r="Z63" s="3"/>
      <c r="AA63" s="3"/>
      <c r="AB63" s="3"/>
      <c r="AC63" s="3"/>
      <c r="AD63" s="3"/>
      <c r="AE63" s="3"/>
      <c r="AF63" s="3"/>
    </row>
    <row r="64" spans="1:32" ht="30.75" customHeight="1">
      <c r="A64" s="337" t="s">
        <v>91</v>
      </c>
      <c r="B64" s="329" t="s">
        <v>92</v>
      </c>
      <c r="C64" s="239"/>
      <c r="D64" s="240"/>
      <c r="E64" s="241"/>
      <c r="F64" s="239"/>
      <c r="G64" s="240"/>
      <c r="H64" s="241"/>
      <c r="I64" s="239"/>
      <c r="J64" s="240"/>
      <c r="K64" s="241"/>
      <c r="L64" s="239"/>
      <c r="M64" s="240"/>
      <c r="N64" s="241"/>
      <c r="O64" s="239"/>
      <c r="P64" s="240"/>
      <c r="Q64" s="241"/>
      <c r="R64" s="239"/>
      <c r="S64" s="240"/>
      <c r="T64" s="241"/>
      <c r="U64" s="242">
        <f t="shared" si="11"/>
        <v>0</v>
      </c>
      <c r="V64" s="240">
        <f t="shared" si="11"/>
        <v>0</v>
      </c>
      <c r="W64" s="241">
        <f t="shared" si="10"/>
        <v>0</v>
      </c>
      <c r="X64" s="3"/>
      <c r="Y64" s="3"/>
      <c r="Z64" s="3"/>
      <c r="AA64" s="3"/>
      <c r="AB64" s="3"/>
      <c r="AC64" s="3"/>
      <c r="AD64" s="3"/>
      <c r="AE64" s="3"/>
      <c r="AF64" s="3"/>
    </row>
    <row r="65" spans="1:32" ht="18">
      <c r="A65" s="272" t="s">
        <v>93</v>
      </c>
      <c r="B65" s="326"/>
      <c r="C65" s="298"/>
      <c r="D65" s="298"/>
      <c r="E65" s="298"/>
      <c r="F65" s="298"/>
      <c r="G65" s="298"/>
      <c r="H65" s="298"/>
      <c r="I65" s="298"/>
      <c r="J65" s="298"/>
      <c r="K65" s="298"/>
      <c r="L65" s="298"/>
      <c r="M65" s="298"/>
      <c r="N65" s="298"/>
      <c r="O65" s="298"/>
      <c r="P65" s="298"/>
      <c r="Q65" s="298"/>
      <c r="R65" s="298"/>
      <c r="S65" s="298"/>
      <c r="T65" s="298"/>
      <c r="U65" s="298"/>
      <c r="V65" s="298"/>
      <c r="W65" s="298"/>
      <c r="X65" s="262"/>
      <c r="Y65" s="262"/>
      <c r="Z65" s="262"/>
      <c r="AA65" s="262"/>
      <c r="AB65" s="262"/>
      <c r="AC65" s="262"/>
      <c r="AD65" s="3"/>
      <c r="AE65" s="3"/>
      <c r="AF65" s="3"/>
    </row>
    <row r="66" spans="1:32" ht="20.25" customHeight="1">
      <c r="A66" s="337" t="s">
        <v>94</v>
      </c>
      <c r="B66" s="329" t="s">
        <v>95</v>
      </c>
      <c r="C66" s="243"/>
      <c r="D66" s="244"/>
      <c r="E66" s="245"/>
      <c r="F66" s="243"/>
      <c r="G66" s="244"/>
      <c r="H66" s="245"/>
      <c r="I66" s="243"/>
      <c r="J66" s="244"/>
      <c r="K66" s="245"/>
      <c r="L66" s="243"/>
      <c r="M66" s="244"/>
      <c r="N66" s="245"/>
      <c r="O66" s="243"/>
      <c r="P66" s="244"/>
      <c r="Q66" s="245"/>
      <c r="R66" s="243"/>
      <c r="S66" s="244"/>
      <c r="T66" s="245"/>
      <c r="U66" s="263">
        <f t="shared" ref="U66:V68" si="12">C66+F66+I66+L66+O66+R66</f>
        <v>0</v>
      </c>
      <c r="V66" s="264">
        <f t="shared" si="12"/>
        <v>0</v>
      </c>
      <c r="W66" s="245">
        <f>SUM(E66,H66,K66,N66,Q66,T66)</f>
        <v>0</v>
      </c>
      <c r="X66" s="3"/>
      <c r="Y66" s="3"/>
      <c r="Z66" s="3"/>
      <c r="AA66" s="3"/>
      <c r="AB66" s="3"/>
      <c r="AC66" s="3"/>
      <c r="AD66" s="3"/>
      <c r="AE66" s="3"/>
      <c r="AF66" s="3"/>
    </row>
    <row r="67" spans="1:32" ht="18.95" customHeight="1">
      <c r="A67" s="337" t="s">
        <v>96</v>
      </c>
      <c r="B67" s="323" t="s">
        <v>97</v>
      </c>
      <c r="C67" s="251"/>
      <c r="D67" s="252"/>
      <c r="E67" s="253"/>
      <c r="F67" s="238"/>
      <c r="G67" s="235"/>
      <c r="H67" s="236"/>
      <c r="I67" s="238"/>
      <c r="J67" s="235"/>
      <c r="K67" s="236"/>
      <c r="L67" s="238"/>
      <c r="M67" s="235"/>
      <c r="N67" s="236"/>
      <c r="O67" s="238"/>
      <c r="P67" s="235"/>
      <c r="Q67" s="236"/>
      <c r="R67" s="238"/>
      <c r="S67" s="235"/>
      <c r="T67" s="236"/>
      <c r="U67" s="228">
        <f t="shared" si="12"/>
        <v>0</v>
      </c>
      <c r="V67" s="171">
        <f t="shared" si="12"/>
        <v>0</v>
      </c>
      <c r="W67" s="245">
        <f t="shared" ref="W67:W71" si="13">SUM(E67,H67,K67,N67,Q67,T67)</f>
        <v>0</v>
      </c>
      <c r="X67" s="3"/>
      <c r="Y67" s="3"/>
      <c r="Z67" s="3"/>
      <c r="AA67" s="3"/>
      <c r="AB67" s="3"/>
      <c r="AC67" s="3"/>
      <c r="AD67" s="3"/>
      <c r="AE67" s="3"/>
      <c r="AF67" s="3"/>
    </row>
    <row r="68" spans="1:32" ht="18.95" customHeight="1">
      <c r="A68" s="337" t="s">
        <v>98</v>
      </c>
      <c r="B68" s="323" t="s">
        <v>99</v>
      </c>
      <c r="C68" s="251"/>
      <c r="D68" s="252"/>
      <c r="E68" s="253"/>
      <c r="F68" s="238"/>
      <c r="G68" s="235"/>
      <c r="H68" s="236"/>
      <c r="I68" s="238"/>
      <c r="J68" s="235"/>
      <c r="K68" s="236"/>
      <c r="L68" s="238"/>
      <c r="M68" s="235"/>
      <c r="N68" s="236"/>
      <c r="O68" s="238"/>
      <c r="P68" s="235"/>
      <c r="Q68" s="236"/>
      <c r="R68" s="238"/>
      <c r="S68" s="235"/>
      <c r="T68" s="236"/>
      <c r="U68" s="228">
        <f t="shared" si="12"/>
        <v>0</v>
      </c>
      <c r="V68" s="171">
        <f t="shared" si="12"/>
        <v>0</v>
      </c>
      <c r="W68" s="245">
        <f t="shared" si="13"/>
        <v>0</v>
      </c>
      <c r="X68" s="3"/>
      <c r="Y68" s="3"/>
      <c r="Z68" s="3"/>
      <c r="AA68" s="3"/>
      <c r="AB68" s="3"/>
      <c r="AC68" s="3"/>
      <c r="AD68" s="3"/>
      <c r="AE68" s="3"/>
      <c r="AF68" s="3"/>
    </row>
    <row r="69" spans="1:32" ht="18.95" customHeight="1">
      <c r="A69" s="337" t="s">
        <v>100</v>
      </c>
      <c r="B69" s="323" t="s">
        <v>101</v>
      </c>
      <c r="C69" s="251"/>
      <c r="D69" s="252"/>
      <c r="E69" s="253"/>
      <c r="F69" s="238"/>
      <c r="G69" s="235"/>
      <c r="H69" s="236"/>
      <c r="I69" s="238"/>
      <c r="J69" s="235"/>
      <c r="K69" s="236"/>
      <c r="L69" s="238"/>
      <c r="M69" s="235"/>
      <c r="N69" s="236"/>
      <c r="O69" s="238"/>
      <c r="P69" s="235"/>
      <c r="Q69" s="236"/>
      <c r="R69" s="238"/>
      <c r="S69" s="235"/>
      <c r="T69" s="236"/>
      <c r="U69" s="228">
        <f>SUM(C69,F69,I69,L69,O69,R69)</f>
        <v>0</v>
      </c>
      <c r="V69" s="171">
        <f>D69+G69+J69+M69+P69+S69</f>
        <v>0</v>
      </c>
      <c r="W69" s="245">
        <f t="shared" si="13"/>
        <v>0</v>
      </c>
      <c r="X69" s="3"/>
      <c r="Y69" s="3"/>
      <c r="Z69" s="3"/>
      <c r="AA69" s="3"/>
      <c r="AB69" s="3"/>
      <c r="AC69" s="3"/>
      <c r="AD69" s="3"/>
      <c r="AE69" s="3"/>
      <c r="AF69" s="3"/>
    </row>
    <row r="70" spans="1:32" ht="26.25" customHeight="1">
      <c r="A70" s="337" t="s">
        <v>102</v>
      </c>
      <c r="B70" s="329" t="s">
        <v>103</v>
      </c>
      <c r="C70" s="251"/>
      <c r="D70" s="252"/>
      <c r="E70" s="253"/>
      <c r="F70" s="238"/>
      <c r="G70" s="235"/>
      <c r="H70" s="236"/>
      <c r="I70" s="238"/>
      <c r="J70" s="235"/>
      <c r="K70" s="236"/>
      <c r="L70" s="238"/>
      <c r="M70" s="235"/>
      <c r="N70" s="236"/>
      <c r="O70" s="238"/>
      <c r="P70" s="235"/>
      <c r="Q70" s="236"/>
      <c r="R70" s="238"/>
      <c r="S70" s="235"/>
      <c r="T70" s="236"/>
      <c r="U70" s="228">
        <f>SUM(C70,F70,I70,L70,O70,R70)</f>
        <v>0</v>
      </c>
      <c r="V70" s="171">
        <f>D70+G70+J70+M70+P70+S70</f>
        <v>0</v>
      </c>
      <c r="W70" s="245">
        <f t="shared" si="13"/>
        <v>0</v>
      </c>
      <c r="X70" s="3"/>
      <c r="Y70" s="3"/>
      <c r="Z70" s="3"/>
      <c r="AA70" s="3"/>
      <c r="AB70" s="3"/>
      <c r="AC70" s="3"/>
      <c r="AD70" s="3"/>
      <c r="AE70" s="3"/>
      <c r="AF70" s="3"/>
    </row>
    <row r="71" spans="1:32" ht="19.5" customHeight="1">
      <c r="A71" s="337" t="s">
        <v>104</v>
      </c>
      <c r="B71" s="329" t="s">
        <v>105</v>
      </c>
      <c r="C71" s="251"/>
      <c r="D71" s="252"/>
      <c r="E71" s="253"/>
      <c r="F71" s="238"/>
      <c r="G71" s="235"/>
      <c r="H71" s="236"/>
      <c r="I71" s="238"/>
      <c r="J71" s="235"/>
      <c r="K71" s="236"/>
      <c r="L71" s="238"/>
      <c r="M71" s="235"/>
      <c r="N71" s="236"/>
      <c r="O71" s="238"/>
      <c r="P71" s="235"/>
      <c r="Q71" s="236"/>
      <c r="R71" s="238"/>
      <c r="S71" s="235"/>
      <c r="T71" s="236"/>
      <c r="U71" s="228">
        <f>SUM(C71,F71,I71,L71,O71,R71)</f>
        <v>0</v>
      </c>
      <c r="V71" s="171">
        <f>D71+G71+J71+M71+P71+S71</f>
        <v>0</v>
      </c>
      <c r="W71" s="245">
        <f t="shared" si="13"/>
        <v>0</v>
      </c>
      <c r="X71" s="3"/>
      <c r="Y71" s="3"/>
      <c r="Z71" s="3"/>
      <c r="AA71" s="3"/>
      <c r="AB71" s="3"/>
      <c r="AC71" s="3"/>
      <c r="AD71" s="3"/>
      <c r="AE71" s="3"/>
      <c r="AF71" s="3"/>
    </row>
    <row r="72" spans="1:32" ht="18">
      <c r="A72" s="272" t="s">
        <v>108</v>
      </c>
      <c r="B72" s="326"/>
      <c r="C72" s="298"/>
      <c r="D72" s="298"/>
      <c r="E72" s="298"/>
      <c r="F72" s="298"/>
      <c r="G72" s="298"/>
      <c r="H72" s="298"/>
      <c r="I72" s="298"/>
      <c r="J72" s="298"/>
      <c r="K72" s="298"/>
      <c r="L72" s="298"/>
      <c r="M72" s="298"/>
      <c r="N72" s="298"/>
      <c r="O72" s="298"/>
      <c r="P72" s="298"/>
      <c r="Q72" s="298"/>
      <c r="R72" s="298"/>
      <c r="S72" s="298"/>
      <c r="T72" s="298"/>
      <c r="U72" s="298"/>
      <c r="V72" s="298"/>
      <c r="W72" s="298"/>
      <c r="X72" s="262"/>
      <c r="Y72" s="262"/>
      <c r="Z72" s="262"/>
      <c r="AA72" s="262"/>
      <c r="AB72" s="262"/>
      <c r="AC72" s="262"/>
      <c r="AD72" s="3"/>
      <c r="AE72" s="3"/>
      <c r="AF72" s="3"/>
    </row>
    <row r="73" spans="1:32" ht="30.75" customHeight="1">
      <c r="A73" s="329" t="s">
        <v>109</v>
      </c>
      <c r="B73" s="329" t="s">
        <v>110</v>
      </c>
      <c r="C73" s="247"/>
      <c r="D73" s="248"/>
      <c r="E73" s="249"/>
      <c r="F73" s="238"/>
      <c r="G73" s="254"/>
      <c r="H73" s="236"/>
      <c r="I73" s="238"/>
      <c r="J73" s="235"/>
      <c r="K73" s="236"/>
      <c r="L73" s="238"/>
      <c r="M73" s="235"/>
      <c r="N73" s="236"/>
      <c r="O73" s="238"/>
      <c r="P73" s="235"/>
      <c r="Q73" s="236"/>
      <c r="R73" s="238"/>
      <c r="S73" s="235"/>
      <c r="T73" s="236"/>
      <c r="U73" s="234">
        <f>C73+F73+I73+L73+O73+R73</f>
        <v>0</v>
      </c>
      <c r="V73" s="235">
        <f t="shared" ref="V73:V77" si="14">D73+G73+J73+M73+P73+S73</f>
        <v>0</v>
      </c>
      <c r="W73" s="236">
        <f>SUM(E73,H73,K73,N73,Q73,T73)</f>
        <v>0</v>
      </c>
      <c r="X73" s="3"/>
      <c r="Y73" s="3"/>
      <c r="Z73" s="3"/>
      <c r="AA73" s="3"/>
      <c r="AB73" s="3"/>
      <c r="AC73" s="3"/>
      <c r="AD73" s="3"/>
      <c r="AE73" s="3"/>
      <c r="AF73" s="3"/>
    </row>
    <row r="74" spans="1:32" ht="33" customHeight="1">
      <c r="A74" s="324" t="s">
        <v>111</v>
      </c>
      <c r="B74" s="332" t="s">
        <v>112</v>
      </c>
      <c r="C74" s="247"/>
      <c r="D74" s="248"/>
      <c r="E74" s="249"/>
      <c r="F74" s="238"/>
      <c r="G74" s="254"/>
      <c r="H74" s="236"/>
      <c r="I74" s="238"/>
      <c r="J74" s="235"/>
      <c r="K74" s="236"/>
      <c r="L74" s="238"/>
      <c r="M74" s="235"/>
      <c r="N74" s="236"/>
      <c r="O74" s="238"/>
      <c r="P74" s="235"/>
      <c r="Q74" s="236"/>
      <c r="R74" s="238"/>
      <c r="S74" s="235"/>
      <c r="T74" s="236"/>
      <c r="U74" s="234">
        <f>SUM(C74,F74,I74,L74,O74,R74)</f>
        <v>0</v>
      </c>
      <c r="V74" s="235">
        <f t="shared" si="14"/>
        <v>0</v>
      </c>
      <c r="W74" s="236">
        <f t="shared" ref="W74:W77" si="15">SUM(E74,H74,K74,N74,Q74,T74)</f>
        <v>0</v>
      </c>
      <c r="X74" s="3"/>
      <c r="Y74" s="3"/>
      <c r="Z74" s="3"/>
      <c r="AA74" s="3"/>
      <c r="AB74" s="3"/>
      <c r="AC74" s="3"/>
      <c r="AD74" s="3"/>
      <c r="AE74" s="3"/>
    </row>
    <row r="75" spans="1:32" ht="18.95" customHeight="1">
      <c r="A75" s="324" t="s">
        <v>113</v>
      </c>
      <c r="B75" s="333" t="s">
        <v>114</v>
      </c>
      <c r="C75" s="247"/>
      <c r="D75" s="248"/>
      <c r="E75" s="249"/>
      <c r="F75" s="238"/>
      <c r="G75" s="254"/>
      <c r="H75" s="236"/>
      <c r="I75" s="238"/>
      <c r="J75" s="235"/>
      <c r="K75" s="236"/>
      <c r="L75" s="238"/>
      <c r="M75" s="235"/>
      <c r="N75" s="236"/>
      <c r="O75" s="238"/>
      <c r="P75" s="235"/>
      <c r="Q75" s="236"/>
      <c r="R75" s="238"/>
      <c r="S75" s="235"/>
      <c r="T75" s="236"/>
      <c r="U75" s="234">
        <f>SUM(C75,F75,I75,L75,O75,R75)</f>
        <v>0</v>
      </c>
      <c r="V75" s="235">
        <f t="shared" si="14"/>
        <v>0</v>
      </c>
      <c r="W75" s="236">
        <f t="shared" si="15"/>
        <v>0</v>
      </c>
      <c r="X75" s="3"/>
      <c r="Y75" s="3"/>
      <c r="Z75" s="3"/>
      <c r="AA75" s="3"/>
      <c r="AB75" s="3"/>
      <c r="AC75" s="3"/>
      <c r="AD75" s="3"/>
      <c r="AE75" s="3"/>
    </row>
    <row r="76" spans="1:32" ht="38.25" customHeight="1">
      <c r="A76" s="343" t="s">
        <v>115</v>
      </c>
      <c r="B76" s="334" t="s">
        <v>116</v>
      </c>
      <c r="C76" s="255"/>
      <c r="D76" s="256"/>
      <c r="E76" s="257"/>
      <c r="F76" s="239"/>
      <c r="G76" s="258"/>
      <c r="H76" s="241"/>
      <c r="I76" s="239"/>
      <c r="J76" s="240"/>
      <c r="K76" s="241"/>
      <c r="L76" s="239"/>
      <c r="M76" s="240"/>
      <c r="N76" s="241"/>
      <c r="O76" s="239"/>
      <c r="P76" s="240"/>
      <c r="Q76" s="241"/>
      <c r="R76" s="239"/>
      <c r="S76" s="240"/>
      <c r="T76" s="241"/>
      <c r="U76" s="242">
        <f>C76+F76+I76+L76+O76+R76</f>
        <v>0</v>
      </c>
      <c r="V76" s="240">
        <f t="shared" si="14"/>
        <v>0</v>
      </c>
      <c r="W76" s="236">
        <f t="shared" si="15"/>
        <v>0</v>
      </c>
      <c r="X76" s="3"/>
      <c r="Y76" s="3"/>
      <c r="Z76" s="3"/>
      <c r="AA76" s="3"/>
      <c r="AB76" s="3"/>
      <c r="AC76" s="3"/>
      <c r="AD76" s="3"/>
      <c r="AE76" s="3"/>
    </row>
    <row r="77" spans="1:32" ht="39" customHeight="1">
      <c r="A77" s="324" t="s">
        <v>117</v>
      </c>
      <c r="B77" s="329" t="s">
        <v>118</v>
      </c>
      <c r="C77" s="247"/>
      <c r="D77" s="248"/>
      <c r="E77" s="249"/>
      <c r="F77" s="238"/>
      <c r="G77" s="235"/>
      <c r="H77" s="236"/>
      <c r="I77" s="238"/>
      <c r="J77" s="235"/>
      <c r="K77" s="236"/>
      <c r="L77" s="238"/>
      <c r="M77" s="235"/>
      <c r="N77" s="236"/>
      <c r="O77" s="238"/>
      <c r="P77" s="235"/>
      <c r="Q77" s="236"/>
      <c r="R77" s="238"/>
      <c r="S77" s="235"/>
      <c r="T77" s="236"/>
      <c r="U77" s="234">
        <f>C77+F77+I77+L77+O77+R77</f>
        <v>0</v>
      </c>
      <c r="V77" s="235">
        <f t="shared" si="14"/>
        <v>0</v>
      </c>
      <c r="W77" s="236">
        <f t="shared" si="15"/>
        <v>0</v>
      </c>
      <c r="X77" s="3"/>
      <c r="Y77" s="3"/>
      <c r="Z77" s="3"/>
      <c r="AA77" s="3"/>
      <c r="AB77" s="3"/>
      <c r="AC77" s="3"/>
      <c r="AD77" s="3"/>
      <c r="AE77" s="3"/>
    </row>
    <row r="78" spans="1:32" ht="18.95" customHeight="1">
      <c r="A78" s="274" t="s">
        <v>119</v>
      </c>
      <c r="B78" s="335"/>
      <c r="C78" s="299"/>
      <c r="D78" s="300"/>
      <c r="E78" s="300"/>
      <c r="F78" s="300"/>
      <c r="G78" s="300"/>
      <c r="H78" s="300"/>
      <c r="I78" s="300"/>
      <c r="J78" s="300"/>
      <c r="K78" s="300"/>
      <c r="L78" s="300"/>
      <c r="M78" s="300"/>
      <c r="N78" s="300"/>
      <c r="O78" s="300"/>
      <c r="P78" s="300"/>
      <c r="Q78" s="300"/>
      <c r="R78" s="300"/>
      <c r="S78" s="300"/>
      <c r="T78" s="300"/>
      <c r="U78" s="300"/>
      <c r="V78" s="300"/>
      <c r="W78" s="301"/>
      <c r="X78" s="265"/>
      <c r="Y78" s="265"/>
      <c r="Z78" s="265"/>
      <c r="AA78" s="265"/>
      <c r="AB78" s="265"/>
      <c r="AC78" s="265"/>
      <c r="AD78" s="3"/>
      <c r="AE78" s="3"/>
    </row>
    <row r="79" spans="1:32" ht="21.75" customHeight="1">
      <c r="A79" s="336" t="s">
        <v>106</v>
      </c>
      <c r="B79" s="336" t="s">
        <v>107</v>
      </c>
      <c r="C79" s="229"/>
      <c r="D79" s="200"/>
      <c r="E79" s="269"/>
      <c r="F79" s="230"/>
      <c r="G79" s="28"/>
      <c r="H79" s="270"/>
      <c r="I79" s="230"/>
      <c r="J79" s="28"/>
      <c r="K79" s="270"/>
      <c r="L79" s="230"/>
      <c r="M79" s="28"/>
      <c r="N79" s="270"/>
      <c r="O79" s="230"/>
      <c r="P79" s="28"/>
      <c r="Q79" s="270"/>
      <c r="R79" s="230"/>
      <c r="S79" s="28"/>
      <c r="T79" s="270"/>
      <c r="U79" s="232"/>
      <c r="V79" s="28"/>
      <c r="W79" s="270"/>
      <c r="X79" s="3"/>
      <c r="Y79" s="3"/>
      <c r="Z79" s="3"/>
      <c r="AA79" s="3"/>
      <c r="AB79" s="3"/>
      <c r="AC79" s="3"/>
      <c r="AD79" s="3"/>
      <c r="AE79" s="3"/>
    </row>
    <row r="80" spans="1:32" ht="30.75" customHeight="1">
      <c r="A80" s="292" t="s">
        <v>3</v>
      </c>
      <c r="B80" s="292"/>
      <c r="C80" s="259"/>
      <c r="D80" s="260"/>
      <c r="E80" s="260"/>
      <c r="F80" s="260"/>
      <c r="G80" s="260"/>
      <c r="H80" s="260"/>
      <c r="I80" s="260"/>
      <c r="J80" s="260"/>
      <c r="K80" s="260"/>
      <c r="L80" s="260"/>
      <c r="M80" s="260"/>
      <c r="N80" s="260"/>
      <c r="O80" s="260"/>
      <c r="P80" s="260"/>
      <c r="Q80" s="260"/>
      <c r="R80" s="260"/>
      <c r="S80" s="260"/>
      <c r="T80" s="261"/>
      <c r="U80" s="228" t="e">
        <f>SUM(#REF!,U77,U76,U75,U74,U73,U71,U70,U69,U68,U67,U66,U64,U63,U62,U61,U60,U59,U57,U56,U55,U54,U53,U52,U51,U50,U48,U47,U46,U45,U44,U43,U42,U41,U39,U38,U37,U36,U35,U34,U33,U32,U31,U29,U28,U27,U26,U25,U24,U23,U22,U21)</f>
        <v>#REF!</v>
      </c>
      <c r="V80" s="228" t="e">
        <f>SUM(#REF!,V77,V76,V75,V74,V73,V71,V70,V69,V68,V67,V66,V64,V63,V62,V61,V60,V59,V57,V56,V55,V54,V53,V52,V51,V50,V48,V47,V46,V45,V44,V43,V42,V41,V39,V38,V37,V36,V35,V34,V33,V32,V31,V29,V28,V27,V26,V25,V24,V23,V22,V21)</f>
        <v>#REF!</v>
      </c>
      <c r="W80" s="228" t="e">
        <f>SUM(#REF!,W77,W76,W75,W74,W73,W71,W70,W69,W68,W67,W66,W64,W63,W62,W61,W60,W59,W57,W56,W55,W54,W53,W52,W51,W50,W48,W47,W46,W45,W44,W43,W42,W41,W39,W38,W37,W36,W35,W34,W33,W32,W31,W29,W28,W27,W26,W25,W24,W23,W22,W21)</f>
        <v>#REF!</v>
      </c>
      <c r="X80" s="3"/>
      <c r="Y80" s="3"/>
      <c r="Z80" s="3"/>
      <c r="AA80" s="3"/>
      <c r="AB80" s="3"/>
      <c r="AC80" s="3"/>
    </row>
    <row r="81" spans="2:27" ht="32.25" customHeight="1">
      <c r="E81"/>
    </row>
    <row r="82" spans="2:27" ht="18">
      <c r="E82"/>
      <c r="P82" s="224" t="s">
        <v>120</v>
      </c>
      <c r="Q82" s="224"/>
      <c r="R82" s="224"/>
      <c r="S82" s="224"/>
      <c r="T82" s="224"/>
      <c r="U82" s="224"/>
      <c r="V82" s="224"/>
      <c r="W82" s="224"/>
      <c r="X82" s="224"/>
      <c r="Y82" s="224"/>
      <c r="Z82" s="224"/>
    </row>
    <row r="83" spans="2:27" ht="18">
      <c r="E83"/>
      <c r="P83" s="224"/>
      <c r="Q83" s="224"/>
      <c r="R83" s="224"/>
      <c r="S83" s="224"/>
      <c r="T83" s="224"/>
      <c r="U83" s="224"/>
      <c r="V83" s="224"/>
      <c r="W83" s="224"/>
      <c r="X83" s="224"/>
      <c r="Y83" s="224"/>
      <c r="Z83" s="224"/>
    </row>
    <row r="84" spans="2:27" ht="18">
      <c r="E84"/>
      <c r="P84" s="224"/>
      <c r="Q84" s="224"/>
      <c r="R84" s="224"/>
      <c r="S84" s="224"/>
      <c r="T84" s="224"/>
      <c r="U84" s="224"/>
      <c r="V84" s="224"/>
      <c r="W84" s="224"/>
      <c r="X84" s="224"/>
      <c r="Y84" s="224"/>
      <c r="Z84" s="224"/>
    </row>
    <row r="85" spans="2:27" ht="18">
      <c r="E85"/>
      <c r="P85" s="286" t="s">
        <v>1628</v>
      </c>
      <c r="Q85" s="286"/>
      <c r="R85" s="286"/>
      <c r="S85" s="286"/>
      <c r="T85" s="286"/>
      <c r="U85" s="286"/>
      <c r="V85" s="286"/>
      <c r="W85" s="286"/>
      <c r="X85" s="286"/>
      <c r="Y85" s="286"/>
      <c r="Z85" s="286"/>
      <c r="AA85" s="286"/>
    </row>
    <row r="86" spans="2:27" ht="18">
      <c r="E86"/>
      <c r="P86" s="293" t="s">
        <v>1629</v>
      </c>
      <c r="Q86" s="293"/>
      <c r="R86" s="293"/>
      <c r="S86" s="293"/>
      <c r="T86" s="293"/>
      <c r="U86" s="293"/>
      <c r="V86" s="293"/>
      <c r="W86" s="293"/>
      <c r="X86" s="293"/>
      <c r="Y86" s="293"/>
      <c r="Z86" s="293"/>
      <c r="AA86" s="293"/>
    </row>
    <row r="87" spans="2:27" ht="18">
      <c r="B87" s="224" t="s">
        <v>122</v>
      </c>
      <c r="E87"/>
      <c r="P87" s="224"/>
      <c r="Q87" s="224"/>
      <c r="R87" s="224"/>
      <c r="S87" s="224"/>
      <c r="T87" s="224"/>
      <c r="U87" s="224"/>
      <c r="V87" s="224"/>
      <c r="W87" s="224"/>
      <c r="X87" s="224"/>
      <c r="Y87" s="224"/>
      <c r="Z87" s="224"/>
    </row>
    <row r="88" spans="2:27">
      <c r="E88"/>
    </row>
    <row r="89" spans="2:27" ht="18">
      <c r="B89" s="224"/>
      <c r="E89"/>
    </row>
    <row r="90" spans="2:27" ht="18">
      <c r="B90" s="231" t="s">
        <v>1626</v>
      </c>
      <c r="E90"/>
    </row>
    <row r="91" spans="2:27" ht="18">
      <c r="B91" s="275" t="s">
        <v>1627</v>
      </c>
      <c r="E91"/>
    </row>
    <row r="92" spans="2:27">
      <c r="E92"/>
    </row>
    <row r="93" spans="2:27" ht="18">
      <c r="B93" s="224"/>
      <c r="E93"/>
    </row>
    <row r="94" spans="2:27">
      <c r="E94"/>
    </row>
    <row r="95" spans="2:27">
      <c r="E95"/>
    </row>
    <row r="96" spans="2:27">
      <c r="E96"/>
    </row>
    <row r="97" spans="1:27">
      <c r="E97"/>
    </row>
    <row r="98" spans="1:27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</row>
    <row r="99" spans="1:27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1:27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</row>
    <row r="101" spans="1:27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1:27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</row>
    <row r="104" spans="1:27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</row>
    <row r="105" spans="1:27">
      <c r="E105"/>
    </row>
    <row r="106" spans="1:27">
      <c r="E106"/>
    </row>
    <row r="107" spans="1:27">
      <c r="E107"/>
    </row>
    <row r="108" spans="1:27">
      <c r="E108"/>
    </row>
    <row r="109" spans="1:27">
      <c r="E109"/>
    </row>
    <row r="110" spans="1:27">
      <c r="E110"/>
    </row>
    <row r="111" spans="1:27">
      <c r="E111"/>
    </row>
    <row r="112" spans="1:27">
      <c r="E112"/>
    </row>
    <row r="113" spans="5:5">
      <c r="E113"/>
    </row>
    <row r="114" spans="5:5">
      <c r="E114"/>
    </row>
    <row r="115" spans="5:5">
      <c r="E115"/>
    </row>
    <row r="116" spans="5:5">
      <c r="E116"/>
    </row>
    <row r="117" spans="5:5">
      <c r="E117"/>
    </row>
    <row r="118" spans="5:5">
      <c r="E118"/>
    </row>
    <row r="119" spans="5:5">
      <c r="E119"/>
    </row>
    <row r="120" spans="5:5">
      <c r="E120"/>
    </row>
    <row r="121" spans="5:5">
      <c r="E121"/>
    </row>
    <row r="122" spans="5:5">
      <c r="E122"/>
    </row>
    <row r="123" spans="5:5">
      <c r="E123"/>
    </row>
    <row r="124" spans="5:5">
      <c r="E124"/>
    </row>
    <row r="125" spans="5:5">
      <c r="E125"/>
    </row>
    <row r="126" spans="5:5">
      <c r="E126"/>
    </row>
    <row r="127" spans="5:5">
      <c r="E127"/>
    </row>
    <row r="128" spans="5:5">
      <c r="E128"/>
    </row>
    <row r="129" spans="5:5">
      <c r="E129"/>
    </row>
    <row r="130" spans="5:5">
      <c r="E130"/>
    </row>
    <row r="131" spans="5:5">
      <c r="E131"/>
    </row>
    <row r="132" spans="5:5">
      <c r="E132"/>
    </row>
    <row r="133" spans="5:5">
      <c r="E133"/>
    </row>
    <row r="134" spans="5:5">
      <c r="E134"/>
    </row>
    <row r="135" spans="5:5">
      <c r="E135"/>
    </row>
    <row r="136" spans="5:5">
      <c r="E136"/>
    </row>
    <row r="137" spans="5:5">
      <c r="E137"/>
    </row>
    <row r="138" spans="5:5">
      <c r="E138"/>
    </row>
    <row r="139" spans="5:5">
      <c r="E139"/>
    </row>
    <row r="140" spans="5:5">
      <c r="E140"/>
    </row>
    <row r="141" spans="5:5">
      <c r="E141"/>
    </row>
    <row r="142" spans="5:5">
      <c r="E142"/>
    </row>
    <row r="143" spans="5:5">
      <c r="E143"/>
    </row>
    <row r="144" spans="5:5">
      <c r="E144"/>
    </row>
    <row r="145" spans="5:5">
      <c r="E145"/>
    </row>
    <row r="146" spans="5:5">
      <c r="E146"/>
    </row>
    <row r="147" spans="5:5">
      <c r="E147"/>
    </row>
    <row r="148" spans="5:5">
      <c r="E148"/>
    </row>
    <row r="149" spans="5:5">
      <c r="E149"/>
    </row>
    <row r="150" spans="5:5">
      <c r="E150"/>
    </row>
    <row r="151" spans="5:5">
      <c r="E151"/>
    </row>
    <row r="152" spans="5:5">
      <c r="E152"/>
    </row>
    <row r="153" spans="5:5">
      <c r="E153"/>
    </row>
    <row r="154" spans="5:5">
      <c r="E154"/>
    </row>
    <row r="155" spans="5:5">
      <c r="E155"/>
    </row>
    <row r="156" spans="5:5">
      <c r="E156"/>
    </row>
    <row r="157" spans="5:5">
      <c r="E157"/>
    </row>
    <row r="158" spans="5:5">
      <c r="E158"/>
    </row>
    <row r="159" spans="5:5">
      <c r="E159"/>
    </row>
    <row r="160" spans="5:5">
      <c r="E160"/>
    </row>
    <row r="161" spans="5:5">
      <c r="E161"/>
    </row>
    <row r="162" spans="5:5">
      <c r="E162"/>
    </row>
    <row r="163" spans="5:5">
      <c r="E163"/>
    </row>
    <row r="164" spans="5:5">
      <c r="E164"/>
    </row>
    <row r="165" spans="5:5">
      <c r="E165"/>
    </row>
    <row r="166" spans="5:5">
      <c r="E166"/>
    </row>
    <row r="167" spans="5:5">
      <c r="E167"/>
    </row>
    <row r="168" spans="5:5">
      <c r="E168"/>
    </row>
    <row r="169" spans="5:5">
      <c r="E169"/>
    </row>
    <row r="170" spans="5:5">
      <c r="E170"/>
    </row>
    <row r="171" spans="5:5">
      <c r="E171"/>
    </row>
    <row r="172" spans="5:5">
      <c r="E172"/>
    </row>
    <row r="173" spans="5:5">
      <c r="E173"/>
    </row>
    <row r="174" spans="5:5">
      <c r="E174"/>
    </row>
    <row r="175" spans="5:5">
      <c r="E175"/>
    </row>
    <row r="176" spans="5:5">
      <c r="E176"/>
    </row>
    <row r="177" spans="5:5">
      <c r="E177"/>
    </row>
    <row r="178" spans="5:5">
      <c r="E178"/>
    </row>
    <row r="179" spans="5:5">
      <c r="E179"/>
    </row>
    <row r="180" spans="5:5">
      <c r="E180"/>
    </row>
    <row r="181" spans="5:5">
      <c r="E181"/>
    </row>
    <row r="182" spans="5:5">
      <c r="E182"/>
    </row>
    <row r="183" spans="5:5">
      <c r="E183"/>
    </row>
    <row r="184" spans="5:5">
      <c r="E184"/>
    </row>
    <row r="185" spans="5:5">
      <c r="E185"/>
    </row>
    <row r="186" spans="5:5">
      <c r="E186"/>
    </row>
    <row r="187" spans="5:5">
      <c r="E187"/>
    </row>
    <row r="188" spans="5:5">
      <c r="E188"/>
    </row>
    <row r="189" spans="5:5">
      <c r="E189"/>
    </row>
    <row r="190" spans="5:5">
      <c r="E190"/>
    </row>
    <row r="191" spans="5:5">
      <c r="E191"/>
    </row>
    <row r="192" spans="5:5">
      <c r="E192"/>
    </row>
    <row r="193" spans="5:5">
      <c r="E193"/>
    </row>
    <row r="194" spans="5:5">
      <c r="E194"/>
    </row>
    <row r="195" spans="5:5">
      <c r="E195"/>
    </row>
    <row r="196" spans="5:5">
      <c r="E196"/>
    </row>
    <row r="197" spans="5:5">
      <c r="E197"/>
    </row>
    <row r="198" spans="5:5">
      <c r="E198"/>
    </row>
    <row r="199" spans="5:5">
      <c r="E199"/>
    </row>
    <row r="200" spans="5:5">
      <c r="E200"/>
    </row>
    <row r="201" spans="5:5">
      <c r="E201"/>
    </row>
    <row r="202" spans="5:5">
      <c r="E202"/>
    </row>
    <row r="203" spans="5:5">
      <c r="E203"/>
    </row>
    <row r="204" spans="5:5">
      <c r="E204"/>
    </row>
    <row r="205" spans="5:5">
      <c r="E205"/>
    </row>
    <row r="206" spans="5:5">
      <c r="E206"/>
    </row>
    <row r="207" spans="5:5">
      <c r="E207"/>
    </row>
    <row r="208" spans="5:5">
      <c r="E208"/>
    </row>
    <row r="209" spans="5:5">
      <c r="E209"/>
    </row>
    <row r="210" spans="5:5">
      <c r="E210"/>
    </row>
    <row r="211" spans="5:5">
      <c r="E211"/>
    </row>
    <row r="212" spans="5:5">
      <c r="E212"/>
    </row>
    <row r="213" spans="5:5">
      <c r="E213"/>
    </row>
    <row r="214" spans="5:5">
      <c r="E214"/>
    </row>
    <row r="215" spans="5:5">
      <c r="E215"/>
    </row>
    <row r="216" spans="5:5">
      <c r="E216"/>
    </row>
    <row r="217" spans="5:5">
      <c r="E217"/>
    </row>
    <row r="218" spans="5:5">
      <c r="E218"/>
    </row>
    <row r="219" spans="5:5">
      <c r="E219"/>
    </row>
    <row r="220" spans="5:5">
      <c r="E220"/>
    </row>
    <row r="221" spans="5:5">
      <c r="E221"/>
    </row>
    <row r="222" spans="5:5">
      <c r="E222"/>
    </row>
    <row r="223" spans="5:5">
      <c r="E223"/>
    </row>
    <row r="224" spans="5:5">
      <c r="E224"/>
    </row>
    <row r="225" spans="5:5">
      <c r="E225"/>
    </row>
    <row r="226" spans="5:5">
      <c r="E226"/>
    </row>
    <row r="227" spans="5:5">
      <c r="E227"/>
    </row>
    <row r="228" spans="5:5">
      <c r="E228"/>
    </row>
    <row r="229" spans="5:5">
      <c r="E229"/>
    </row>
    <row r="230" spans="5:5">
      <c r="E230"/>
    </row>
    <row r="231" spans="5:5">
      <c r="E231"/>
    </row>
    <row r="232" spans="5:5">
      <c r="E232"/>
    </row>
    <row r="233" spans="5:5">
      <c r="E233"/>
    </row>
    <row r="234" spans="5:5">
      <c r="E234"/>
    </row>
    <row r="235" spans="5:5">
      <c r="E235"/>
    </row>
    <row r="236" spans="5:5">
      <c r="E236"/>
    </row>
    <row r="237" spans="5:5">
      <c r="E237"/>
    </row>
    <row r="238" spans="5:5">
      <c r="E238"/>
    </row>
    <row r="239" spans="5:5">
      <c r="E239"/>
    </row>
    <row r="240" spans="5:5">
      <c r="E240"/>
    </row>
    <row r="241" spans="5:5">
      <c r="E241"/>
    </row>
    <row r="242" spans="5:5">
      <c r="E242"/>
    </row>
    <row r="243" spans="5:5">
      <c r="E243"/>
    </row>
    <row r="244" spans="5:5">
      <c r="E244"/>
    </row>
    <row r="245" spans="5:5">
      <c r="E245"/>
    </row>
    <row r="246" spans="5:5">
      <c r="E246"/>
    </row>
    <row r="247" spans="5:5">
      <c r="E247"/>
    </row>
    <row r="248" spans="5:5">
      <c r="E248"/>
    </row>
    <row r="249" spans="5:5">
      <c r="E249"/>
    </row>
    <row r="250" spans="5:5">
      <c r="E250"/>
    </row>
    <row r="251" spans="5:5">
      <c r="E251"/>
    </row>
    <row r="252" spans="5:5">
      <c r="E252"/>
    </row>
    <row r="253" spans="5:5">
      <c r="E253"/>
    </row>
    <row r="254" spans="5:5">
      <c r="E254"/>
    </row>
    <row r="255" spans="5:5">
      <c r="E255"/>
    </row>
    <row r="256" spans="5:5">
      <c r="E256"/>
    </row>
    <row r="257" spans="5:5">
      <c r="E257"/>
    </row>
    <row r="258" spans="5:5">
      <c r="E258"/>
    </row>
    <row r="259" spans="5:5">
      <c r="E259"/>
    </row>
    <row r="260" spans="5:5">
      <c r="E260"/>
    </row>
    <row r="261" spans="5:5">
      <c r="E261"/>
    </row>
    <row r="262" spans="5:5">
      <c r="E262"/>
    </row>
    <row r="263" spans="5:5">
      <c r="E263"/>
    </row>
    <row r="264" spans="5:5">
      <c r="E264"/>
    </row>
    <row r="265" spans="5:5">
      <c r="E265"/>
    </row>
    <row r="266" spans="5:5">
      <c r="E266"/>
    </row>
    <row r="267" spans="5:5">
      <c r="E267"/>
    </row>
    <row r="268" spans="5:5">
      <c r="E268"/>
    </row>
    <row r="269" spans="5:5">
      <c r="E269"/>
    </row>
    <row r="270" spans="5:5">
      <c r="E270"/>
    </row>
    <row r="271" spans="5:5">
      <c r="E271"/>
    </row>
    <row r="272" spans="5:5">
      <c r="E272"/>
    </row>
    <row r="273" spans="5:5">
      <c r="E273"/>
    </row>
    <row r="274" spans="5:5">
      <c r="E274"/>
    </row>
    <row r="275" spans="5:5">
      <c r="E275"/>
    </row>
    <row r="276" spans="5:5">
      <c r="E276"/>
    </row>
    <row r="277" spans="5:5">
      <c r="E277"/>
    </row>
    <row r="278" spans="5:5">
      <c r="E278"/>
    </row>
    <row r="279" spans="5:5">
      <c r="E279"/>
    </row>
    <row r="280" spans="5:5">
      <c r="E280"/>
    </row>
    <row r="281" spans="5:5">
      <c r="E281"/>
    </row>
    <row r="282" spans="5:5">
      <c r="E282"/>
    </row>
    <row r="283" spans="5:5">
      <c r="E283"/>
    </row>
    <row r="284" spans="5:5">
      <c r="E284"/>
    </row>
    <row r="285" spans="5:5">
      <c r="E285"/>
    </row>
    <row r="286" spans="5:5">
      <c r="E286"/>
    </row>
    <row r="287" spans="5:5">
      <c r="E287"/>
    </row>
    <row r="288" spans="5:5">
      <c r="E288"/>
    </row>
    <row r="289" spans="5:5">
      <c r="E289"/>
    </row>
    <row r="290" spans="5:5">
      <c r="E290"/>
    </row>
    <row r="291" spans="5:5">
      <c r="E291"/>
    </row>
    <row r="292" spans="5:5">
      <c r="E292"/>
    </row>
    <row r="293" spans="5:5">
      <c r="E293"/>
    </row>
    <row r="294" spans="5:5">
      <c r="E294"/>
    </row>
    <row r="295" spans="5:5">
      <c r="E295"/>
    </row>
    <row r="296" spans="5:5">
      <c r="E296"/>
    </row>
    <row r="297" spans="5:5">
      <c r="E297"/>
    </row>
    <row r="298" spans="5:5">
      <c r="E298"/>
    </row>
    <row r="299" spans="5:5">
      <c r="E299"/>
    </row>
    <row r="300" spans="5:5">
      <c r="E300"/>
    </row>
    <row r="301" spans="5:5">
      <c r="E301"/>
    </row>
    <row r="302" spans="5:5">
      <c r="E302"/>
    </row>
    <row r="303" spans="5:5">
      <c r="E303"/>
    </row>
    <row r="304" spans="5:5">
      <c r="E304"/>
    </row>
    <row r="305" spans="5:5">
      <c r="E305"/>
    </row>
    <row r="306" spans="5:5">
      <c r="E306"/>
    </row>
    <row r="307" spans="5:5">
      <c r="E307"/>
    </row>
    <row r="308" spans="5:5">
      <c r="E308"/>
    </row>
    <row r="309" spans="5:5">
      <c r="E309"/>
    </row>
    <row r="310" spans="5:5">
      <c r="E310"/>
    </row>
    <row r="311" spans="5:5">
      <c r="E311"/>
    </row>
    <row r="312" spans="5:5">
      <c r="E312"/>
    </row>
    <row r="313" spans="5:5">
      <c r="E313"/>
    </row>
    <row r="314" spans="5:5">
      <c r="E314"/>
    </row>
    <row r="315" spans="5:5">
      <c r="E315"/>
    </row>
    <row r="316" spans="5:5">
      <c r="E316"/>
    </row>
    <row r="317" spans="5:5">
      <c r="E317"/>
    </row>
    <row r="318" spans="5:5">
      <c r="E318"/>
    </row>
    <row r="319" spans="5:5">
      <c r="E319"/>
    </row>
    <row r="320" spans="5:5">
      <c r="E320"/>
    </row>
    <row r="321" spans="5:5">
      <c r="E321"/>
    </row>
    <row r="322" spans="5:5">
      <c r="E322"/>
    </row>
    <row r="323" spans="5:5">
      <c r="E323"/>
    </row>
    <row r="324" spans="5:5">
      <c r="E324"/>
    </row>
    <row r="325" spans="5:5">
      <c r="E325"/>
    </row>
    <row r="326" spans="5:5">
      <c r="E326"/>
    </row>
    <row r="327" spans="5:5">
      <c r="E327"/>
    </row>
    <row r="328" spans="5:5">
      <c r="E328"/>
    </row>
    <row r="329" spans="5:5">
      <c r="E329"/>
    </row>
    <row r="330" spans="5:5">
      <c r="E330"/>
    </row>
    <row r="331" spans="5:5">
      <c r="E331"/>
    </row>
    <row r="332" spans="5:5">
      <c r="E332"/>
    </row>
    <row r="333" spans="5:5">
      <c r="E333"/>
    </row>
    <row r="334" spans="5:5">
      <c r="E334"/>
    </row>
    <row r="335" spans="5:5">
      <c r="E335"/>
    </row>
    <row r="336" spans="5:5">
      <c r="E336"/>
    </row>
    <row r="337" spans="5:5">
      <c r="E337"/>
    </row>
    <row r="338" spans="5:5">
      <c r="E338"/>
    </row>
    <row r="339" spans="5:5">
      <c r="E339"/>
    </row>
    <row r="340" spans="5:5">
      <c r="E340"/>
    </row>
    <row r="341" spans="5:5">
      <c r="E341"/>
    </row>
    <row r="342" spans="5:5">
      <c r="E342"/>
    </row>
    <row r="343" spans="5:5">
      <c r="E343"/>
    </row>
    <row r="344" spans="5:5">
      <c r="E344"/>
    </row>
    <row r="345" spans="5:5">
      <c r="E345"/>
    </row>
    <row r="346" spans="5:5">
      <c r="E346"/>
    </row>
    <row r="347" spans="5:5">
      <c r="E347"/>
    </row>
    <row r="348" spans="5:5">
      <c r="E348"/>
    </row>
    <row r="349" spans="5:5">
      <c r="E349"/>
    </row>
    <row r="350" spans="5:5">
      <c r="E350"/>
    </row>
    <row r="351" spans="5:5">
      <c r="E351"/>
    </row>
    <row r="352" spans="5:5">
      <c r="E352"/>
    </row>
    <row r="353" spans="5:5">
      <c r="E353"/>
    </row>
    <row r="354" spans="5:5">
      <c r="E354"/>
    </row>
    <row r="355" spans="5:5">
      <c r="E355"/>
    </row>
    <row r="356" spans="5:5">
      <c r="E356"/>
    </row>
    <row r="357" spans="5:5">
      <c r="E357"/>
    </row>
    <row r="358" spans="5:5">
      <c r="E358"/>
    </row>
    <row r="359" spans="5:5">
      <c r="E359"/>
    </row>
    <row r="360" spans="5:5">
      <c r="E360"/>
    </row>
    <row r="361" spans="5:5">
      <c r="E361"/>
    </row>
    <row r="362" spans="5:5">
      <c r="E362"/>
    </row>
    <row r="363" spans="5:5">
      <c r="E363"/>
    </row>
    <row r="364" spans="5:5">
      <c r="E364"/>
    </row>
    <row r="365" spans="5:5">
      <c r="E365"/>
    </row>
    <row r="366" spans="5:5">
      <c r="E366"/>
    </row>
    <row r="367" spans="5:5">
      <c r="E367"/>
    </row>
    <row r="368" spans="5:5">
      <c r="E368"/>
    </row>
    <row r="369" spans="5:5">
      <c r="E369"/>
    </row>
    <row r="370" spans="5:5">
      <c r="E370"/>
    </row>
    <row r="371" spans="5:5">
      <c r="E371"/>
    </row>
    <row r="372" spans="5:5">
      <c r="E372"/>
    </row>
    <row r="373" spans="5:5">
      <c r="E373"/>
    </row>
    <row r="374" spans="5:5">
      <c r="E374"/>
    </row>
    <row r="375" spans="5:5">
      <c r="E375"/>
    </row>
    <row r="376" spans="5:5">
      <c r="E376"/>
    </row>
    <row r="377" spans="5:5">
      <c r="E377"/>
    </row>
    <row r="378" spans="5:5">
      <c r="E378"/>
    </row>
    <row r="379" spans="5:5">
      <c r="E379"/>
    </row>
    <row r="380" spans="5:5">
      <c r="E380"/>
    </row>
    <row r="381" spans="5:5">
      <c r="E381"/>
    </row>
    <row r="382" spans="5:5">
      <c r="E382"/>
    </row>
    <row r="383" spans="5:5">
      <c r="E383"/>
    </row>
    <row r="384" spans="5:5">
      <c r="E384"/>
    </row>
    <row r="385" spans="5:5">
      <c r="E385"/>
    </row>
    <row r="386" spans="5:5">
      <c r="E386"/>
    </row>
    <row r="387" spans="5:5">
      <c r="E387"/>
    </row>
    <row r="388" spans="5:5">
      <c r="E388"/>
    </row>
    <row r="389" spans="5:5">
      <c r="E389"/>
    </row>
    <row r="390" spans="5:5">
      <c r="E390"/>
    </row>
    <row r="391" spans="5:5">
      <c r="E391"/>
    </row>
    <row r="392" spans="5:5">
      <c r="E392"/>
    </row>
    <row r="393" spans="5:5">
      <c r="E393"/>
    </row>
    <row r="394" spans="5:5">
      <c r="E394"/>
    </row>
    <row r="395" spans="5:5">
      <c r="E395"/>
    </row>
    <row r="396" spans="5:5">
      <c r="E396"/>
    </row>
    <row r="397" spans="5:5">
      <c r="E397"/>
    </row>
    <row r="398" spans="5:5">
      <c r="E398"/>
    </row>
    <row r="399" spans="5:5">
      <c r="E399"/>
    </row>
    <row r="400" spans="5:5">
      <c r="E400"/>
    </row>
    <row r="401" spans="5:5">
      <c r="E401"/>
    </row>
    <row r="402" spans="5:5">
      <c r="E402"/>
    </row>
    <row r="403" spans="5:5">
      <c r="E403"/>
    </row>
    <row r="404" spans="5:5">
      <c r="E404"/>
    </row>
    <row r="405" spans="5:5">
      <c r="E405"/>
    </row>
    <row r="406" spans="5:5">
      <c r="E406"/>
    </row>
    <row r="407" spans="5:5">
      <c r="E407"/>
    </row>
    <row r="408" spans="5:5">
      <c r="E408"/>
    </row>
    <row r="409" spans="5:5">
      <c r="E409"/>
    </row>
    <row r="410" spans="5:5">
      <c r="E410"/>
    </row>
    <row r="411" spans="5:5">
      <c r="E411"/>
    </row>
    <row r="412" spans="5:5">
      <c r="E412"/>
    </row>
    <row r="413" spans="5:5">
      <c r="E413"/>
    </row>
    <row r="414" spans="5:5">
      <c r="E414"/>
    </row>
    <row r="415" spans="5:5">
      <c r="E415"/>
    </row>
    <row r="416" spans="5:5">
      <c r="E416"/>
    </row>
    <row r="417" spans="5:5">
      <c r="E417"/>
    </row>
    <row r="418" spans="5:5">
      <c r="E418"/>
    </row>
    <row r="419" spans="5:5">
      <c r="E419"/>
    </row>
    <row r="420" spans="5:5">
      <c r="E420"/>
    </row>
    <row r="421" spans="5:5">
      <c r="E421"/>
    </row>
    <row r="422" spans="5:5">
      <c r="E422"/>
    </row>
    <row r="423" spans="5:5">
      <c r="E423"/>
    </row>
    <row r="424" spans="5:5">
      <c r="E424"/>
    </row>
    <row r="425" spans="5:5">
      <c r="E425"/>
    </row>
    <row r="426" spans="5:5">
      <c r="E426"/>
    </row>
    <row r="427" spans="5:5">
      <c r="E427"/>
    </row>
    <row r="428" spans="5:5">
      <c r="E428"/>
    </row>
    <row r="429" spans="5:5">
      <c r="E429"/>
    </row>
    <row r="430" spans="5:5">
      <c r="E430"/>
    </row>
    <row r="431" spans="5:5">
      <c r="E431"/>
    </row>
    <row r="432" spans="5:5">
      <c r="E432"/>
    </row>
    <row r="433" spans="5:5">
      <c r="E433"/>
    </row>
    <row r="434" spans="5:5">
      <c r="E434"/>
    </row>
    <row r="435" spans="5:5">
      <c r="E435"/>
    </row>
    <row r="436" spans="5:5">
      <c r="E436"/>
    </row>
    <row r="437" spans="5:5">
      <c r="E437"/>
    </row>
    <row r="438" spans="5:5">
      <c r="E438"/>
    </row>
    <row r="439" spans="5:5">
      <c r="E439"/>
    </row>
    <row r="440" spans="5:5">
      <c r="E440"/>
    </row>
    <row r="441" spans="5:5">
      <c r="E441"/>
    </row>
    <row r="442" spans="5:5">
      <c r="E442"/>
    </row>
    <row r="443" spans="5:5">
      <c r="E443"/>
    </row>
    <row r="444" spans="5:5">
      <c r="E444"/>
    </row>
    <row r="445" spans="5:5">
      <c r="E445"/>
    </row>
    <row r="446" spans="5:5">
      <c r="E446"/>
    </row>
    <row r="447" spans="5:5">
      <c r="E447"/>
    </row>
    <row r="448" spans="5:5">
      <c r="E448"/>
    </row>
    <row r="449" spans="5:5">
      <c r="E449"/>
    </row>
    <row r="450" spans="5:5">
      <c r="E450"/>
    </row>
    <row r="451" spans="5:5">
      <c r="E451"/>
    </row>
    <row r="452" spans="5:5">
      <c r="E452"/>
    </row>
    <row r="453" spans="5:5">
      <c r="E453"/>
    </row>
    <row r="454" spans="5:5">
      <c r="E454"/>
    </row>
    <row r="455" spans="5:5">
      <c r="E455"/>
    </row>
    <row r="456" spans="5:5">
      <c r="E456"/>
    </row>
    <row r="457" spans="5:5">
      <c r="E457"/>
    </row>
    <row r="458" spans="5:5">
      <c r="E458"/>
    </row>
    <row r="459" spans="5:5">
      <c r="E459"/>
    </row>
    <row r="460" spans="5:5">
      <c r="E460"/>
    </row>
    <row r="461" spans="5:5">
      <c r="E461"/>
    </row>
    <row r="462" spans="5:5">
      <c r="E462"/>
    </row>
    <row r="463" spans="5:5">
      <c r="E463"/>
    </row>
    <row r="464" spans="5:5">
      <c r="E464"/>
    </row>
    <row r="465" spans="5:5">
      <c r="E465"/>
    </row>
    <row r="466" spans="5:5">
      <c r="E466"/>
    </row>
    <row r="467" spans="5:5">
      <c r="E467"/>
    </row>
    <row r="468" spans="5:5">
      <c r="E468"/>
    </row>
    <row r="469" spans="5:5">
      <c r="E469"/>
    </row>
    <row r="470" spans="5:5">
      <c r="E470"/>
    </row>
    <row r="471" spans="5:5">
      <c r="E471"/>
    </row>
    <row r="472" spans="5:5">
      <c r="E472"/>
    </row>
    <row r="473" spans="5:5">
      <c r="E473"/>
    </row>
    <row r="474" spans="5:5">
      <c r="E474"/>
    </row>
    <row r="475" spans="5:5">
      <c r="E475"/>
    </row>
    <row r="476" spans="5:5">
      <c r="E476"/>
    </row>
    <row r="477" spans="5:5">
      <c r="E477"/>
    </row>
    <row r="478" spans="5:5">
      <c r="E478"/>
    </row>
    <row r="479" spans="5:5">
      <c r="E479"/>
    </row>
    <row r="480" spans="5:5">
      <c r="E480"/>
    </row>
    <row r="481" spans="5:5">
      <c r="E481"/>
    </row>
    <row r="482" spans="5:5">
      <c r="E482"/>
    </row>
    <row r="483" spans="5:5">
      <c r="E483"/>
    </row>
    <row r="484" spans="5:5">
      <c r="E484"/>
    </row>
    <row r="485" spans="5:5">
      <c r="E485"/>
    </row>
    <row r="486" spans="5:5">
      <c r="E486"/>
    </row>
    <row r="487" spans="5:5">
      <c r="E487"/>
    </row>
    <row r="488" spans="5:5">
      <c r="E488"/>
    </row>
    <row r="489" spans="5:5">
      <c r="E489"/>
    </row>
    <row r="490" spans="5:5">
      <c r="E490"/>
    </row>
    <row r="491" spans="5:5">
      <c r="E491"/>
    </row>
    <row r="492" spans="5:5">
      <c r="E492"/>
    </row>
    <row r="493" spans="5:5">
      <c r="E493"/>
    </row>
    <row r="494" spans="5:5">
      <c r="E494"/>
    </row>
    <row r="495" spans="5:5">
      <c r="E495"/>
    </row>
    <row r="496" spans="5:5">
      <c r="E496"/>
    </row>
    <row r="497" spans="5:5">
      <c r="E497"/>
    </row>
    <row r="498" spans="5:5">
      <c r="E498"/>
    </row>
    <row r="499" spans="5:5">
      <c r="E499"/>
    </row>
    <row r="500" spans="5:5">
      <c r="E500"/>
    </row>
    <row r="501" spans="5:5">
      <c r="E501"/>
    </row>
    <row r="502" spans="5:5">
      <c r="E502"/>
    </row>
    <row r="503" spans="5:5">
      <c r="E503"/>
    </row>
    <row r="504" spans="5:5">
      <c r="E504"/>
    </row>
    <row r="505" spans="5:5">
      <c r="E505"/>
    </row>
    <row r="506" spans="5:5">
      <c r="E506"/>
    </row>
    <row r="507" spans="5:5">
      <c r="E507"/>
    </row>
    <row r="508" spans="5:5">
      <c r="E508"/>
    </row>
    <row r="509" spans="5:5">
      <c r="E509"/>
    </row>
    <row r="510" spans="5:5">
      <c r="E510"/>
    </row>
    <row r="511" spans="5:5">
      <c r="E511"/>
    </row>
    <row r="512" spans="5:5">
      <c r="E512"/>
    </row>
    <row r="513" spans="5:5">
      <c r="E513"/>
    </row>
    <row r="514" spans="5:5">
      <c r="E514"/>
    </row>
    <row r="515" spans="5:5">
      <c r="E515"/>
    </row>
    <row r="516" spans="5:5">
      <c r="E516"/>
    </row>
    <row r="517" spans="5:5">
      <c r="E517"/>
    </row>
    <row r="518" spans="5:5">
      <c r="E518"/>
    </row>
    <row r="519" spans="5:5">
      <c r="E519"/>
    </row>
    <row r="520" spans="5:5">
      <c r="E520"/>
    </row>
    <row r="521" spans="5:5">
      <c r="E521"/>
    </row>
    <row r="522" spans="5:5">
      <c r="E522"/>
    </row>
    <row r="523" spans="5:5">
      <c r="E523"/>
    </row>
    <row r="524" spans="5:5">
      <c r="E524"/>
    </row>
    <row r="525" spans="5:5">
      <c r="E525"/>
    </row>
    <row r="526" spans="5:5">
      <c r="E526"/>
    </row>
    <row r="527" spans="5:5">
      <c r="E527"/>
    </row>
    <row r="528" spans="5:5">
      <c r="E528"/>
    </row>
    <row r="529" spans="5:5">
      <c r="E529"/>
    </row>
    <row r="530" spans="5:5">
      <c r="E530"/>
    </row>
    <row r="531" spans="5:5">
      <c r="E531"/>
    </row>
    <row r="532" spans="5:5">
      <c r="E532"/>
    </row>
    <row r="533" spans="5:5">
      <c r="E533"/>
    </row>
    <row r="534" spans="5:5">
      <c r="E534"/>
    </row>
    <row r="535" spans="5:5">
      <c r="E535"/>
    </row>
    <row r="536" spans="5:5">
      <c r="E536"/>
    </row>
    <row r="537" spans="5:5">
      <c r="E537"/>
    </row>
    <row r="538" spans="5:5">
      <c r="E538"/>
    </row>
    <row r="539" spans="5:5">
      <c r="E539"/>
    </row>
    <row r="540" spans="5:5">
      <c r="E540"/>
    </row>
    <row r="541" spans="5:5">
      <c r="E541"/>
    </row>
    <row r="542" spans="5:5">
      <c r="E542"/>
    </row>
    <row r="543" spans="5:5">
      <c r="E543"/>
    </row>
    <row r="544" spans="5:5">
      <c r="E544"/>
    </row>
    <row r="545" spans="5:5">
      <c r="E545"/>
    </row>
    <row r="546" spans="5:5">
      <c r="E546"/>
    </row>
    <row r="547" spans="5:5">
      <c r="E547"/>
    </row>
    <row r="548" spans="5:5">
      <c r="E548"/>
    </row>
    <row r="549" spans="5:5">
      <c r="E549"/>
    </row>
    <row r="550" spans="5:5">
      <c r="E550"/>
    </row>
    <row r="551" spans="5:5">
      <c r="E551"/>
    </row>
    <row r="552" spans="5:5">
      <c r="E552"/>
    </row>
    <row r="553" spans="5:5">
      <c r="E553"/>
    </row>
    <row r="554" spans="5:5">
      <c r="E554"/>
    </row>
    <row r="555" spans="5:5">
      <c r="E555"/>
    </row>
    <row r="556" spans="5:5">
      <c r="E556"/>
    </row>
    <row r="557" spans="5:5">
      <c r="E557"/>
    </row>
    <row r="558" spans="5:5">
      <c r="E558"/>
    </row>
    <row r="559" spans="5:5">
      <c r="E559"/>
    </row>
    <row r="560" spans="5:5">
      <c r="E560"/>
    </row>
    <row r="561" spans="5:5">
      <c r="E561"/>
    </row>
    <row r="562" spans="5:5">
      <c r="E562"/>
    </row>
    <row r="563" spans="5:5">
      <c r="E563"/>
    </row>
    <row r="564" spans="5:5">
      <c r="E564"/>
    </row>
    <row r="565" spans="5:5">
      <c r="E565"/>
    </row>
    <row r="566" spans="5:5">
      <c r="E566"/>
    </row>
    <row r="567" spans="5:5">
      <c r="E567"/>
    </row>
    <row r="568" spans="5:5">
      <c r="E568"/>
    </row>
    <row r="569" spans="5:5">
      <c r="E569"/>
    </row>
    <row r="570" spans="5:5">
      <c r="E570"/>
    </row>
    <row r="571" spans="5:5">
      <c r="E571"/>
    </row>
    <row r="572" spans="5:5">
      <c r="E572"/>
    </row>
    <row r="573" spans="5:5">
      <c r="E573"/>
    </row>
    <row r="574" spans="5:5">
      <c r="E574"/>
    </row>
    <row r="575" spans="5:5">
      <c r="E575"/>
    </row>
    <row r="576" spans="5:5">
      <c r="E576"/>
    </row>
    <row r="577" spans="5:5">
      <c r="E577"/>
    </row>
    <row r="578" spans="5:5">
      <c r="E578"/>
    </row>
    <row r="579" spans="5:5">
      <c r="E579"/>
    </row>
    <row r="580" spans="5:5">
      <c r="E580"/>
    </row>
    <row r="581" spans="5:5">
      <c r="E581"/>
    </row>
    <row r="582" spans="5:5">
      <c r="E582"/>
    </row>
    <row r="583" spans="5:5">
      <c r="E583"/>
    </row>
    <row r="584" spans="5:5">
      <c r="E584"/>
    </row>
    <row r="585" spans="5:5">
      <c r="E585"/>
    </row>
    <row r="586" spans="5:5">
      <c r="E586"/>
    </row>
    <row r="587" spans="5:5">
      <c r="E587"/>
    </row>
    <row r="588" spans="5:5">
      <c r="E588"/>
    </row>
    <row r="589" spans="5:5">
      <c r="E589"/>
    </row>
    <row r="590" spans="5:5">
      <c r="E590"/>
    </row>
    <row r="591" spans="5:5">
      <c r="E591"/>
    </row>
    <row r="592" spans="5:5">
      <c r="E592"/>
    </row>
    <row r="593" spans="5:5">
      <c r="E593"/>
    </row>
    <row r="594" spans="5:5">
      <c r="E594"/>
    </row>
    <row r="595" spans="5:5">
      <c r="E595"/>
    </row>
    <row r="596" spans="5:5">
      <c r="E596"/>
    </row>
    <row r="597" spans="5:5">
      <c r="E597"/>
    </row>
    <row r="598" spans="5:5">
      <c r="E598"/>
    </row>
    <row r="599" spans="5:5">
      <c r="E599"/>
    </row>
    <row r="600" spans="5:5">
      <c r="E600"/>
    </row>
    <row r="601" spans="5:5">
      <c r="E601"/>
    </row>
    <row r="602" spans="5:5">
      <c r="E602"/>
    </row>
    <row r="603" spans="5:5">
      <c r="E603"/>
    </row>
    <row r="604" spans="5:5">
      <c r="E604"/>
    </row>
    <row r="605" spans="5:5">
      <c r="E605"/>
    </row>
    <row r="606" spans="5:5">
      <c r="E606"/>
    </row>
    <row r="607" spans="5:5">
      <c r="E607"/>
    </row>
    <row r="608" spans="5:5">
      <c r="E608"/>
    </row>
    <row r="609" spans="5:5">
      <c r="E609"/>
    </row>
    <row r="610" spans="5:5">
      <c r="E610"/>
    </row>
    <row r="611" spans="5:5">
      <c r="E611"/>
    </row>
    <row r="612" spans="5:5">
      <c r="E612"/>
    </row>
    <row r="613" spans="5:5">
      <c r="E613"/>
    </row>
    <row r="614" spans="5:5">
      <c r="E614"/>
    </row>
    <row r="615" spans="5:5">
      <c r="E615"/>
    </row>
    <row r="616" spans="5:5">
      <c r="E616"/>
    </row>
    <row r="617" spans="5:5">
      <c r="E617"/>
    </row>
    <row r="618" spans="5:5">
      <c r="E618"/>
    </row>
    <row r="619" spans="5:5">
      <c r="E619"/>
    </row>
    <row r="620" spans="5:5">
      <c r="E620"/>
    </row>
    <row r="621" spans="5:5">
      <c r="E621"/>
    </row>
    <row r="622" spans="5:5">
      <c r="E622"/>
    </row>
    <row r="623" spans="5:5">
      <c r="E623"/>
    </row>
    <row r="624" spans="5:5">
      <c r="E624"/>
    </row>
    <row r="625" spans="5:5">
      <c r="E625"/>
    </row>
    <row r="626" spans="5:5">
      <c r="E626"/>
    </row>
    <row r="627" spans="5:5">
      <c r="E627"/>
    </row>
    <row r="628" spans="5:5">
      <c r="E628"/>
    </row>
    <row r="629" spans="5:5">
      <c r="E629"/>
    </row>
    <row r="630" spans="5:5">
      <c r="E630"/>
    </row>
    <row r="631" spans="5:5">
      <c r="E631"/>
    </row>
    <row r="632" spans="5:5">
      <c r="E632"/>
    </row>
    <row r="633" spans="5:5">
      <c r="E633"/>
    </row>
    <row r="634" spans="5:5">
      <c r="E634"/>
    </row>
    <row r="635" spans="5:5">
      <c r="E635"/>
    </row>
    <row r="636" spans="5:5">
      <c r="E636"/>
    </row>
    <row r="637" spans="5:5">
      <c r="E637"/>
    </row>
    <row r="638" spans="5:5">
      <c r="E638"/>
    </row>
    <row r="639" spans="5:5">
      <c r="E639"/>
    </row>
    <row r="640" spans="5:5">
      <c r="E640"/>
    </row>
    <row r="641" spans="5:5">
      <c r="E641"/>
    </row>
    <row r="642" spans="5:5">
      <c r="E642"/>
    </row>
    <row r="643" spans="5:5">
      <c r="E643"/>
    </row>
    <row r="644" spans="5:5">
      <c r="E644"/>
    </row>
    <row r="645" spans="5:5">
      <c r="E645"/>
    </row>
    <row r="646" spans="5:5">
      <c r="E646"/>
    </row>
    <row r="647" spans="5:5">
      <c r="E647"/>
    </row>
    <row r="648" spans="5:5">
      <c r="E648"/>
    </row>
    <row r="649" spans="5:5">
      <c r="E649"/>
    </row>
    <row r="650" spans="5:5">
      <c r="E650"/>
    </row>
    <row r="651" spans="5:5">
      <c r="E651"/>
    </row>
    <row r="652" spans="5:5">
      <c r="E652"/>
    </row>
    <row r="653" spans="5:5">
      <c r="E653"/>
    </row>
    <row r="654" spans="5:5">
      <c r="E654"/>
    </row>
    <row r="655" spans="5:5">
      <c r="E655"/>
    </row>
    <row r="656" spans="5:5">
      <c r="E656"/>
    </row>
    <row r="657" spans="5:5">
      <c r="E657"/>
    </row>
    <row r="658" spans="5:5">
      <c r="E658"/>
    </row>
    <row r="659" spans="5:5">
      <c r="E659"/>
    </row>
    <row r="660" spans="5:5">
      <c r="E660"/>
    </row>
    <row r="661" spans="5:5">
      <c r="E661"/>
    </row>
    <row r="662" spans="5:5">
      <c r="E662"/>
    </row>
    <row r="663" spans="5:5">
      <c r="E663"/>
    </row>
    <row r="664" spans="5:5">
      <c r="E664"/>
    </row>
    <row r="665" spans="5:5">
      <c r="E665"/>
    </row>
    <row r="666" spans="5:5">
      <c r="E666"/>
    </row>
    <row r="667" spans="5:5">
      <c r="E667"/>
    </row>
    <row r="668" spans="5:5">
      <c r="E668"/>
    </row>
    <row r="669" spans="5:5">
      <c r="E669"/>
    </row>
    <row r="670" spans="5:5">
      <c r="E670"/>
    </row>
    <row r="671" spans="5:5">
      <c r="E671"/>
    </row>
    <row r="672" spans="5:5">
      <c r="E672"/>
    </row>
    <row r="673" spans="5:5">
      <c r="E673"/>
    </row>
    <row r="674" spans="5:5">
      <c r="E674"/>
    </row>
    <row r="675" spans="5:5">
      <c r="E675"/>
    </row>
    <row r="676" spans="5:5">
      <c r="E676"/>
    </row>
    <row r="677" spans="5:5">
      <c r="E677"/>
    </row>
    <row r="678" spans="5:5">
      <c r="E678"/>
    </row>
    <row r="679" spans="5:5">
      <c r="E679"/>
    </row>
    <row r="680" spans="5:5">
      <c r="E680"/>
    </row>
    <row r="681" spans="5:5">
      <c r="E681"/>
    </row>
    <row r="682" spans="5:5">
      <c r="E682"/>
    </row>
    <row r="683" spans="5:5">
      <c r="E683"/>
    </row>
    <row r="684" spans="5:5">
      <c r="E684"/>
    </row>
    <row r="685" spans="5:5">
      <c r="E685"/>
    </row>
    <row r="686" spans="5:5">
      <c r="E686"/>
    </row>
    <row r="687" spans="5:5">
      <c r="E687"/>
    </row>
    <row r="688" spans="5:5">
      <c r="E688"/>
    </row>
    <row r="689" spans="5:5">
      <c r="E689"/>
    </row>
    <row r="690" spans="5:5">
      <c r="E690"/>
    </row>
    <row r="691" spans="5:5">
      <c r="E691"/>
    </row>
    <row r="692" spans="5:5">
      <c r="E692"/>
    </row>
    <row r="693" spans="5:5">
      <c r="E693"/>
    </row>
    <row r="694" spans="5:5">
      <c r="E694"/>
    </row>
    <row r="695" spans="5:5">
      <c r="E695"/>
    </row>
    <row r="696" spans="5:5">
      <c r="E696"/>
    </row>
    <row r="697" spans="5:5">
      <c r="E697"/>
    </row>
    <row r="698" spans="5:5">
      <c r="E698"/>
    </row>
    <row r="699" spans="5:5">
      <c r="E699"/>
    </row>
    <row r="700" spans="5:5">
      <c r="E700"/>
    </row>
    <row r="701" spans="5:5">
      <c r="E701"/>
    </row>
    <row r="702" spans="5:5">
      <c r="E702"/>
    </row>
    <row r="703" spans="5:5">
      <c r="E703"/>
    </row>
    <row r="704" spans="5:5">
      <c r="E704"/>
    </row>
    <row r="705" spans="5:5">
      <c r="E705"/>
    </row>
    <row r="706" spans="5:5">
      <c r="E706"/>
    </row>
    <row r="707" spans="5:5">
      <c r="E707"/>
    </row>
    <row r="708" spans="5:5">
      <c r="E708"/>
    </row>
    <row r="709" spans="5:5">
      <c r="E709"/>
    </row>
    <row r="710" spans="5:5">
      <c r="E710"/>
    </row>
    <row r="711" spans="5:5">
      <c r="E711"/>
    </row>
    <row r="712" spans="5:5">
      <c r="E712"/>
    </row>
    <row r="713" spans="5:5">
      <c r="E713"/>
    </row>
    <row r="714" spans="5:5">
      <c r="E714"/>
    </row>
    <row r="715" spans="5:5">
      <c r="E715"/>
    </row>
    <row r="716" spans="5:5">
      <c r="E716"/>
    </row>
    <row r="717" spans="5:5">
      <c r="E717"/>
    </row>
    <row r="718" spans="5:5">
      <c r="E718"/>
    </row>
    <row r="719" spans="5:5">
      <c r="E719"/>
    </row>
    <row r="720" spans="5:5">
      <c r="E720"/>
    </row>
    <row r="721" spans="5:5">
      <c r="E721"/>
    </row>
    <row r="722" spans="5:5">
      <c r="E722"/>
    </row>
    <row r="723" spans="5:5">
      <c r="E723"/>
    </row>
    <row r="724" spans="5:5">
      <c r="E724"/>
    </row>
    <row r="725" spans="5:5">
      <c r="E725"/>
    </row>
    <row r="726" spans="5:5">
      <c r="E726"/>
    </row>
    <row r="727" spans="5:5">
      <c r="E727"/>
    </row>
    <row r="728" spans="5:5">
      <c r="E728"/>
    </row>
    <row r="729" spans="5:5">
      <c r="E729"/>
    </row>
    <row r="730" spans="5:5">
      <c r="E730"/>
    </row>
    <row r="731" spans="5:5">
      <c r="E731"/>
    </row>
    <row r="732" spans="5:5">
      <c r="E732"/>
    </row>
    <row r="733" spans="5:5">
      <c r="E733"/>
    </row>
    <row r="734" spans="5:5">
      <c r="E734"/>
    </row>
    <row r="735" spans="5:5">
      <c r="E735"/>
    </row>
    <row r="736" spans="5:5">
      <c r="E736"/>
    </row>
    <row r="737" spans="5:5">
      <c r="E737"/>
    </row>
    <row r="738" spans="5:5">
      <c r="E738"/>
    </row>
    <row r="739" spans="5:5">
      <c r="E739"/>
    </row>
    <row r="740" spans="5:5">
      <c r="E740"/>
    </row>
    <row r="741" spans="5:5">
      <c r="E741"/>
    </row>
    <row r="742" spans="5:5">
      <c r="E742"/>
    </row>
    <row r="743" spans="5:5">
      <c r="E743"/>
    </row>
    <row r="744" spans="5:5">
      <c r="E744"/>
    </row>
    <row r="745" spans="5:5">
      <c r="E745"/>
    </row>
    <row r="746" spans="5:5">
      <c r="E746"/>
    </row>
    <row r="747" spans="5:5">
      <c r="E747"/>
    </row>
    <row r="748" spans="5:5">
      <c r="E748"/>
    </row>
    <row r="749" spans="5:5">
      <c r="E749"/>
    </row>
    <row r="750" spans="5:5">
      <c r="E750"/>
    </row>
    <row r="751" spans="5:5">
      <c r="E751"/>
    </row>
    <row r="752" spans="5:5">
      <c r="E752"/>
    </row>
    <row r="753" spans="5:5">
      <c r="E753"/>
    </row>
    <row r="754" spans="5:5">
      <c r="E754"/>
    </row>
    <row r="755" spans="5:5">
      <c r="E755"/>
    </row>
    <row r="756" spans="5:5">
      <c r="E756"/>
    </row>
    <row r="757" spans="5:5">
      <c r="E757"/>
    </row>
    <row r="758" spans="5:5">
      <c r="E758"/>
    </row>
    <row r="759" spans="5:5">
      <c r="E759"/>
    </row>
    <row r="760" spans="5:5">
      <c r="E760"/>
    </row>
    <row r="761" spans="5:5">
      <c r="E761"/>
    </row>
    <row r="762" spans="5:5">
      <c r="E762"/>
    </row>
    <row r="763" spans="5:5">
      <c r="E763"/>
    </row>
    <row r="764" spans="5:5">
      <c r="E764"/>
    </row>
    <row r="765" spans="5:5">
      <c r="E765"/>
    </row>
    <row r="766" spans="5:5">
      <c r="E766"/>
    </row>
    <row r="767" spans="5:5">
      <c r="E767"/>
    </row>
    <row r="768" spans="5:5">
      <c r="E768"/>
    </row>
    <row r="769" spans="5:5">
      <c r="E769"/>
    </row>
    <row r="770" spans="5:5">
      <c r="E770"/>
    </row>
    <row r="771" spans="5:5">
      <c r="E771"/>
    </row>
    <row r="772" spans="5:5">
      <c r="E772"/>
    </row>
    <row r="773" spans="5:5">
      <c r="E773"/>
    </row>
    <row r="774" spans="5:5">
      <c r="E774"/>
    </row>
    <row r="775" spans="5:5">
      <c r="E775"/>
    </row>
    <row r="776" spans="5:5">
      <c r="E776"/>
    </row>
    <row r="777" spans="5:5">
      <c r="E777"/>
    </row>
    <row r="778" spans="5:5">
      <c r="E778"/>
    </row>
    <row r="779" spans="5:5">
      <c r="E779"/>
    </row>
    <row r="780" spans="5:5">
      <c r="E780"/>
    </row>
    <row r="781" spans="5:5">
      <c r="E781"/>
    </row>
    <row r="782" spans="5:5">
      <c r="E782"/>
    </row>
    <row r="783" spans="5:5">
      <c r="E783"/>
    </row>
    <row r="784" spans="5:5">
      <c r="E784"/>
    </row>
    <row r="785" spans="5:5">
      <c r="E785"/>
    </row>
    <row r="786" spans="5:5">
      <c r="E786"/>
    </row>
    <row r="787" spans="5:5">
      <c r="E787"/>
    </row>
    <row r="788" spans="5:5">
      <c r="E788"/>
    </row>
    <row r="789" spans="5:5">
      <c r="E789"/>
    </row>
    <row r="790" spans="5:5">
      <c r="E790"/>
    </row>
    <row r="791" spans="5:5">
      <c r="E791"/>
    </row>
    <row r="792" spans="5:5">
      <c r="E792"/>
    </row>
    <row r="793" spans="5:5">
      <c r="E793"/>
    </row>
    <row r="794" spans="5:5">
      <c r="E794"/>
    </row>
    <row r="795" spans="5:5">
      <c r="E795"/>
    </row>
    <row r="796" spans="5:5">
      <c r="E796"/>
    </row>
    <row r="797" spans="5:5">
      <c r="E797"/>
    </row>
    <row r="798" spans="5:5">
      <c r="E798"/>
    </row>
    <row r="799" spans="5:5">
      <c r="E799"/>
    </row>
    <row r="800" spans="5:5">
      <c r="E800"/>
    </row>
    <row r="801" spans="5:5">
      <c r="E801"/>
    </row>
    <row r="802" spans="5:5">
      <c r="E802"/>
    </row>
    <row r="803" spans="5:5">
      <c r="E803"/>
    </row>
    <row r="804" spans="5:5">
      <c r="E804"/>
    </row>
    <row r="805" spans="5:5">
      <c r="E805"/>
    </row>
    <row r="806" spans="5:5">
      <c r="E806"/>
    </row>
    <row r="807" spans="5:5">
      <c r="E807"/>
    </row>
    <row r="808" spans="5:5">
      <c r="E808"/>
    </row>
    <row r="809" spans="5:5">
      <c r="E809"/>
    </row>
    <row r="810" spans="5:5">
      <c r="E810"/>
    </row>
    <row r="811" spans="5:5">
      <c r="E811"/>
    </row>
    <row r="812" spans="5:5">
      <c r="E812"/>
    </row>
    <row r="813" spans="5:5">
      <c r="E813"/>
    </row>
    <row r="814" spans="5:5">
      <c r="E814"/>
    </row>
    <row r="815" spans="5:5">
      <c r="E815"/>
    </row>
    <row r="816" spans="5:5">
      <c r="E816"/>
    </row>
    <row r="817" spans="5:5">
      <c r="E817"/>
    </row>
    <row r="818" spans="5:5">
      <c r="E818"/>
    </row>
    <row r="819" spans="5:5">
      <c r="E819"/>
    </row>
    <row r="820" spans="5:5">
      <c r="E820"/>
    </row>
    <row r="821" spans="5:5">
      <c r="E821"/>
    </row>
    <row r="822" spans="5:5">
      <c r="E822"/>
    </row>
    <row r="823" spans="5:5">
      <c r="E823"/>
    </row>
    <row r="824" spans="5:5">
      <c r="E824"/>
    </row>
    <row r="825" spans="5:5">
      <c r="E825"/>
    </row>
    <row r="826" spans="5:5">
      <c r="E826"/>
    </row>
    <row r="827" spans="5:5">
      <c r="E827"/>
    </row>
    <row r="828" spans="5:5">
      <c r="E828"/>
    </row>
    <row r="829" spans="5:5">
      <c r="E829"/>
    </row>
    <row r="830" spans="5:5">
      <c r="E830"/>
    </row>
    <row r="831" spans="5:5">
      <c r="E831"/>
    </row>
    <row r="832" spans="5:5">
      <c r="E832"/>
    </row>
    <row r="833" spans="5:5">
      <c r="E833"/>
    </row>
    <row r="834" spans="5:5">
      <c r="E834"/>
    </row>
    <row r="835" spans="5:5">
      <c r="E835"/>
    </row>
    <row r="836" spans="5:5">
      <c r="E836"/>
    </row>
    <row r="837" spans="5:5">
      <c r="E837"/>
    </row>
    <row r="838" spans="5:5">
      <c r="E838"/>
    </row>
    <row r="839" spans="5:5">
      <c r="E839"/>
    </row>
    <row r="840" spans="5:5">
      <c r="E840"/>
    </row>
    <row r="841" spans="5:5">
      <c r="E841"/>
    </row>
    <row r="842" spans="5:5">
      <c r="E842"/>
    </row>
    <row r="843" spans="5:5">
      <c r="E843"/>
    </row>
    <row r="844" spans="5:5">
      <c r="E844"/>
    </row>
    <row r="845" spans="5:5">
      <c r="E845"/>
    </row>
    <row r="846" spans="5:5">
      <c r="E846"/>
    </row>
    <row r="847" spans="5:5">
      <c r="E847"/>
    </row>
    <row r="848" spans="5:5">
      <c r="E848"/>
    </row>
    <row r="849" spans="5:5">
      <c r="E849"/>
    </row>
    <row r="850" spans="5:5">
      <c r="E850"/>
    </row>
    <row r="851" spans="5:5">
      <c r="E851"/>
    </row>
    <row r="852" spans="5:5">
      <c r="E852"/>
    </row>
    <row r="853" spans="5:5">
      <c r="E853"/>
    </row>
    <row r="854" spans="5:5">
      <c r="E854"/>
    </row>
    <row r="855" spans="5:5">
      <c r="E855"/>
    </row>
    <row r="856" spans="5:5">
      <c r="E856"/>
    </row>
    <row r="857" spans="5:5">
      <c r="E857"/>
    </row>
    <row r="858" spans="5:5">
      <c r="E858"/>
    </row>
    <row r="859" spans="5:5">
      <c r="E859"/>
    </row>
    <row r="860" spans="5:5">
      <c r="E860"/>
    </row>
    <row r="861" spans="5:5">
      <c r="E861"/>
    </row>
    <row r="862" spans="5:5">
      <c r="E862"/>
    </row>
    <row r="863" spans="5:5">
      <c r="E863"/>
    </row>
    <row r="864" spans="5:5">
      <c r="E864"/>
    </row>
    <row r="865" spans="5:5">
      <c r="E865"/>
    </row>
    <row r="866" spans="5:5">
      <c r="E866"/>
    </row>
    <row r="867" spans="5:5">
      <c r="E867"/>
    </row>
    <row r="868" spans="5:5">
      <c r="E868"/>
    </row>
    <row r="869" spans="5:5">
      <c r="E869"/>
    </row>
    <row r="870" spans="5:5">
      <c r="E870"/>
    </row>
    <row r="871" spans="5:5">
      <c r="E871"/>
    </row>
    <row r="872" spans="5:5">
      <c r="E872"/>
    </row>
    <row r="873" spans="5:5">
      <c r="E873"/>
    </row>
    <row r="874" spans="5:5">
      <c r="E874"/>
    </row>
    <row r="875" spans="5:5">
      <c r="E875"/>
    </row>
    <row r="876" spans="5:5">
      <c r="E876"/>
    </row>
    <row r="877" spans="5:5">
      <c r="E877"/>
    </row>
    <row r="878" spans="5:5">
      <c r="E878"/>
    </row>
    <row r="879" spans="5:5">
      <c r="E879"/>
    </row>
    <row r="880" spans="5:5">
      <c r="E880"/>
    </row>
    <row r="881" spans="5:5">
      <c r="E881"/>
    </row>
    <row r="882" spans="5:5">
      <c r="E882"/>
    </row>
    <row r="883" spans="5:5">
      <c r="E883"/>
    </row>
    <row r="884" spans="5:5">
      <c r="E884"/>
    </row>
    <row r="885" spans="5:5">
      <c r="E885"/>
    </row>
    <row r="886" spans="5:5">
      <c r="E886"/>
    </row>
    <row r="887" spans="5:5">
      <c r="E887"/>
    </row>
    <row r="888" spans="5:5">
      <c r="E888"/>
    </row>
    <row r="889" spans="5:5">
      <c r="E889"/>
    </row>
    <row r="890" spans="5:5">
      <c r="E890"/>
    </row>
    <row r="891" spans="5:5">
      <c r="E891"/>
    </row>
    <row r="892" spans="5:5">
      <c r="E892"/>
    </row>
    <row r="893" spans="5:5">
      <c r="E893"/>
    </row>
    <row r="894" spans="5:5">
      <c r="E894"/>
    </row>
    <row r="895" spans="5:5">
      <c r="E895"/>
    </row>
    <row r="896" spans="5:5">
      <c r="E896"/>
    </row>
    <row r="897" spans="5:5">
      <c r="E897"/>
    </row>
    <row r="898" spans="5:5">
      <c r="E898"/>
    </row>
    <row r="899" spans="5:5">
      <c r="E899"/>
    </row>
    <row r="900" spans="5:5">
      <c r="E900"/>
    </row>
    <row r="901" spans="5:5">
      <c r="E901"/>
    </row>
    <row r="902" spans="5:5">
      <c r="E902"/>
    </row>
    <row r="903" spans="5:5">
      <c r="E903"/>
    </row>
    <row r="904" spans="5:5">
      <c r="E904"/>
    </row>
    <row r="905" spans="5:5">
      <c r="E905"/>
    </row>
    <row r="906" spans="5:5">
      <c r="E906"/>
    </row>
    <row r="907" spans="5:5">
      <c r="E907"/>
    </row>
    <row r="908" spans="5:5">
      <c r="E908"/>
    </row>
    <row r="909" spans="5:5">
      <c r="E909"/>
    </row>
    <row r="910" spans="5:5">
      <c r="E910"/>
    </row>
    <row r="911" spans="5:5">
      <c r="E911"/>
    </row>
    <row r="912" spans="5:5">
      <c r="E912"/>
    </row>
    <row r="913" spans="5:5">
      <c r="E913"/>
    </row>
    <row r="914" spans="5:5">
      <c r="E914"/>
    </row>
    <row r="915" spans="5:5">
      <c r="E915"/>
    </row>
    <row r="916" spans="5:5">
      <c r="E916"/>
    </row>
    <row r="917" spans="5:5">
      <c r="E917"/>
    </row>
    <row r="918" spans="5:5">
      <c r="E918"/>
    </row>
    <row r="919" spans="5:5">
      <c r="E919"/>
    </row>
    <row r="920" spans="5:5">
      <c r="E920"/>
    </row>
    <row r="921" spans="5:5">
      <c r="E921"/>
    </row>
    <row r="922" spans="5:5">
      <c r="E922"/>
    </row>
    <row r="923" spans="5:5">
      <c r="E923"/>
    </row>
    <row r="924" spans="5:5">
      <c r="E924"/>
    </row>
    <row r="925" spans="5:5">
      <c r="E925"/>
    </row>
    <row r="926" spans="5:5">
      <c r="E926"/>
    </row>
    <row r="927" spans="5:5">
      <c r="E927"/>
    </row>
    <row r="928" spans="5:5">
      <c r="E928"/>
    </row>
    <row r="929" spans="5:5">
      <c r="E929"/>
    </row>
    <row r="930" spans="5:5">
      <c r="E930"/>
    </row>
    <row r="931" spans="5:5">
      <c r="E931"/>
    </row>
    <row r="932" spans="5:5">
      <c r="E932"/>
    </row>
    <row r="933" spans="5:5">
      <c r="E933"/>
    </row>
    <row r="934" spans="5:5">
      <c r="E934"/>
    </row>
    <row r="935" spans="5:5">
      <c r="E935"/>
    </row>
    <row r="936" spans="5:5">
      <c r="E936"/>
    </row>
    <row r="937" spans="5:5">
      <c r="E937"/>
    </row>
    <row r="938" spans="5:5">
      <c r="E938"/>
    </row>
    <row r="939" spans="5:5">
      <c r="E939"/>
    </row>
    <row r="940" spans="5:5">
      <c r="E940"/>
    </row>
    <row r="941" spans="5:5">
      <c r="E941"/>
    </row>
    <row r="942" spans="5:5">
      <c r="E942"/>
    </row>
    <row r="943" spans="5:5">
      <c r="E943"/>
    </row>
    <row r="944" spans="5:5">
      <c r="E944"/>
    </row>
    <row r="945" spans="5:5">
      <c r="E945"/>
    </row>
    <row r="946" spans="5:5">
      <c r="E946"/>
    </row>
    <row r="947" spans="5:5">
      <c r="E947"/>
    </row>
    <row r="948" spans="5:5">
      <c r="E948"/>
    </row>
    <row r="949" spans="5:5">
      <c r="E949"/>
    </row>
    <row r="950" spans="5:5">
      <c r="E950"/>
    </row>
    <row r="951" spans="5:5">
      <c r="E951"/>
    </row>
    <row r="952" spans="5:5">
      <c r="E952"/>
    </row>
    <row r="953" spans="5:5">
      <c r="E953"/>
    </row>
    <row r="954" spans="5:5">
      <c r="E954"/>
    </row>
    <row r="955" spans="5:5">
      <c r="E955"/>
    </row>
    <row r="956" spans="5:5">
      <c r="E956"/>
    </row>
    <row r="957" spans="5:5">
      <c r="E957"/>
    </row>
    <row r="958" spans="5:5">
      <c r="E958"/>
    </row>
    <row r="959" spans="5:5">
      <c r="E959"/>
    </row>
    <row r="960" spans="5:5">
      <c r="E960"/>
    </row>
    <row r="961" spans="5:5">
      <c r="E961"/>
    </row>
    <row r="962" spans="5:5">
      <c r="E962"/>
    </row>
    <row r="963" spans="5:5">
      <c r="E963"/>
    </row>
    <row r="964" spans="5:5">
      <c r="E964"/>
    </row>
    <row r="965" spans="5:5">
      <c r="E965"/>
    </row>
    <row r="966" spans="5:5">
      <c r="E966"/>
    </row>
    <row r="967" spans="5:5">
      <c r="E967"/>
    </row>
    <row r="968" spans="5:5">
      <c r="E968"/>
    </row>
    <row r="969" spans="5:5">
      <c r="E969"/>
    </row>
    <row r="970" spans="5:5">
      <c r="E970"/>
    </row>
    <row r="971" spans="5:5">
      <c r="E971"/>
    </row>
    <row r="972" spans="5:5">
      <c r="E972"/>
    </row>
    <row r="973" spans="5:5">
      <c r="E973"/>
    </row>
    <row r="974" spans="5:5">
      <c r="E974"/>
    </row>
    <row r="975" spans="5:5">
      <c r="E975"/>
    </row>
    <row r="976" spans="5:5">
      <c r="E976"/>
    </row>
    <row r="977" spans="5:5">
      <c r="E977"/>
    </row>
    <row r="978" spans="5:5">
      <c r="E978"/>
    </row>
    <row r="979" spans="5:5">
      <c r="E979"/>
    </row>
    <row r="980" spans="5:5">
      <c r="E980"/>
    </row>
    <row r="981" spans="5:5">
      <c r="E981"/>
    </row>
    <row r="982" spans="5:5">
      <c r="E982"/>
    </row>
    <row r="983" spans="5:5">
      <c r="E983"/>
    </row>
    <row r="984" spans="5:5">
      <c r="E984"/>
    </row>
    <row r="985" spans="5:5">
      <c r="E985"/>
    </row>
    <row r="986" spans="5:5">
      <c r="E986"/>
    </row>
    <row r="987" spans="5:5">
      <c r="E987"/>
    </row>
    <row r="988" spans="5:5">
      <c r="E988"/>
    </row>
    <row r="989" spans="5:5">
      <c r="E989"/>
    </row>
    <row r="990" spans="5:5">
      <c r="E990"/>
    </row>
    <row r="991" spans="5:5">
      <c r="E991"/>
    </row>
    <row r="992" spans="5:5">
      <c r="E992"/>
    </row>
    <row r="993" spans="5:5">
      <c r="E993"/>
    </row>
    <row r="994" spans="5:5">
      <c r="E994"/>
    </row>
    <row r="995" spans="5:5">
      <c r="E995"/>
    </row>
    <row r="996" spans="5:5">
      <c r="E996"/>
    </row>
    <row r="997" spans="5:5">
      <c r="E997"/>
    </row>
    <row r="998" spans="5:5">
      <c r="E998"/>
    </row>
    <row r="999" spans="5:5">
      <c r="E999"/>
    </row>
    <row r="1000" spans="5:5">
      <c r="E1000"/>
    </row>
    <row r="1001" spans="5:5">
      <c r="E1001"/>
    </row>
    <row r="1002" spans="5:5">
      <c r="E1002"/>
    </row>
    <row r="1003" spans="5:5">
      <c r="E1003"/>
    </row>
    <row r="1004" spans="5:5">
      <c r="E1004"/>
    </row>
    <row r="1005" spans="5:5">
      <c r="E1005"/>
    </row>
    <row r="1006" spans="5:5">
      <c r="E1006"/>
    </row>
    <row r="1007" spans="5:5">
      <c r="E1007"/>
    </row>
    <row r="1008" spans="5:5">
      <c r="E1008"/>
    </row>
    <row r="1009" spans="5:5">
      <c r="E1009"/>
    </row>
    <row r="1010" spans="5:5">
      <c r="E1010"/>
    </row>
    <row r="1011" spans="5:5">
      <c r="E1011"/>
    </row>
    <row r="1012" spans="5:5">
      <c r="E1012"/>
    </row>
    <row r="1013" spans="5:5">
      <c r="E1013"/>
    </row>
    <row r="1014" spans="5:5">
      <c r="E1014"/>
    </row>
    <row r="1015" spans="5:5">
      <c r="E1015"/>
    </row>
    <row r="1016" spans="5:5">
      <c r="E1016"/>
    </row>
    <row r="1017" spans="5:5">
      <c r="E1017"/>
    </row>
    <row r="1018" spans="5:5">
      <c r="E1018"/>
    </row>
    <row r="1019" spans="5:5">
      <c r="E1019"/>
    </row>
    <row r="1020" spans="5:5">
      <c r="E1020"/>
    </row>
    <row r="1021" spans="5:5">
      <c r="E1021"/>
    </row>
    <row r="1022" spans="5:5">
      <c r="E1022"/>
    </row>
    <row r="1023" spans="5:5">
      <c r="E1023"/>
    </row>
    <row r="1024" spans="5:5">
      <c r="E1024"/>
    </row>
    <row r="1025" spans="5:5">
      <c r="E1025"/>
    </row>
    <row r="1026" spans="5:5">
      <c r="E1026"/>
    </row>
    <row r="1027" spans="5:5">
      <c r="E1027"/>
    </row>
    <row r="1028" spans="5:5">
      <c r="E1028"/>
    </row>
    <row r="1029" spans="5:5">
      <c r="E1029"/>
    </row>
    <row r="1030" spans="5:5">
      <c r="E1030"/>
    </row>
    <row r="1031" spans="5:5">
      <c r="E1031"/>
    </row>
    <row r="1032" spans="5:5">
      <c r="E1032"/>
    </row>
    <row r="1033" spans="5:5">
      <c r="E1033"/>
    </row>
    <row r="1034" spans="5:5">
      <c r="E1034"/>
    </row>
    <row r="1035" spans="5:5">
      <c r="E1035"/>
    </row>
    <row r="1036" spans="5:5">
      <c r="E1036"/>
    </row>
    <row r="1037" spans="5:5">
      <c r="E1037"/>
    </row>
    <row r="1038" spans="5:5">
      <c r="E1038"/>
    </row>
    <row r="1039" spans="5:5">
      <c r="E1039"/>
    </row>
    <row r="1040" spans="5:5">
      <c r="E1040"/>
    </row>
    <row r="1041" spans="5:5">
      <c r="E1041"/>
    </row>
    <row r="1042" spans="5:5">
      <c r="E1042"/>
    </row>
    <row r="1043" spans="5:5">
      <c r="E1043"/>
    </row>
    <row r="1044" spans="5:5">
      <c r="E1044"/>
    </row>
    <row r="1045" spans="5:5">
      <c r="E1045"/>
    </row>
    <row r="1046" spans="5:5">
      <c r="E1046"/>
    </row>
    <row r="1047" spans="5:5">
      <c r="E1047"/>
    </row>
    <row r="1048" spans="5:5">
      <c r="E1048"/>
    </row>
    <row r="1049" spans="5:5">
      <c r="E1049"/>
    </row>
    <row r="1050" spans="5:5">
      <c r="E1050"/>
    </row>
    <row r="1051" spans="5:5">
      <c r="E1051"/>
    </row>
    <row r="1052" spans="5:5">
      <c r="E1052"/>
    </row>
    <row r="1053" spans="5:5">
      <c r="E1053"/>
    </row>
    <row r="1054" spans="5:5">
      <c r="E1054"/>
    </row>
    <row r="1055" spans="5:5">
      <c r="E1055"/>
    </row>
    <row r="1056" spans="5:5">
      <c r="E1056"/>
    </row>
    <row r="1057" spans="5:5">
      <c r="E1057"/>
    </row>
    <row r="1058" spans="5:5">
      <c r="E1058"/>
    </row>
    <row r="1059" spans="5:5">
      <c r="E1059"/>
    </row>
    <row r="1060" spans="5:5">
      <c r="E1060"/>
    </row>
    <row r="1061" spans="5:5">
      <c r="E1061"/>
    </row>
    <row r="1062" spans="5:5">
      <c r="E1062"/>
    </row>
    <row r="1063" spans="5:5">
      <c r="E1063"/>
    </row>
    <row r="1064" spans="5:5">
      <c r="E1064"/>
    </row>
    <row r="1065" spans="5:5">
      <c r="E1065"/>
    </row>
    <row r="1066" spans="5:5">
      <c r="E1066"/>
    </row>
    <row r="1067" spans="5:5">
      <c r="E1067"/>
    </row>
    <row r="1068" spans="5:5">
      <c r="E1068"/>
    </row>
    <row r="1069" spans="5:5">
      <c r="E1069"/>
    </row>
    <row r="1070" spans="5:5">
      <c r="E1070"/>
    </row>
    <row r="1071" spans="5:5">
      <c r="E1071"/>
    </row>
    <row r="1072" spans="5:5">
      <c r="E1072"/>
    </row>
    <row r="1073" spans="5:5">
      <c r="E1073"/>
    </row>
    <row r="1074" spans="5:5">
      <c r="E1074"/>
    </row>
    <row r="1075" spans="5:5">
      <c r="E1075"/>
    </row>
    <row r="1076" spans="5:5">
      <c r="E1076"/>
    </row>
    <row r="1077" spans="5:5">
      <c r="E1077"/>
    </row>
    <row r="1078" spans="5:5">
      <c r="E1078"/>
    </row>
    <row r="1079" spans="5:5">
      <c r="E1079"/>
    </row>
    <row r="1080" spans="5:5">
      <c r="E1080"/>
    </row>
    <row r="1081" spans="5:5">
      <c r="E1081"/>
    </row>
    <row r="1082" spans="5:5">
      <c r="E1082"/>
    </row>
    <row r="1083" spans="5:5">
      <c r="E1083"/>
    </row>
    <row r="1084" spans="5:5">
      <c r="E1084"/>
    </row>
    <row r="1085" spans="5:5">
      <c r="E1085"/>
    </row>
    <row r="1086" spans="5:5">
      <c r="E1086"/>
    </row>
    <row r="1087" spans="5:5">
      <c r="E1087"/>
    </row>
    <row r="1088" spans="5:5">
      <c r="E1088"/>
    </row>
    <row r="1089" spans="5:5">
      <c r="E1089"/>
    </row>
    <row r="1090" spans="5:5">
      <c r="E1090"/>
    </row>
    <row r="1091" spans="5:5">
      <c r="E1091"/>
    </row>
    <row r="1092" spans="5:5">
      <c r="E1092"/>
    </row>
    <row r="1093" spans="5:5">
      <c r="E1093"/>
    </row>
    <row r="1094" spans="5:5">
      <c r="E1094"/>
    </row>
    <row r="1095" spans="5:5">
      <c r="E1095"/>
    </row>
    <row r="1096" spans="5:5">
      <c r="E1096"/>
    </row>
    <row r="1097" spans="5:5">
      <c r="E1097"/>
    </row>
    <row r="1098" spans="5:5">
      <c r="E1098"/>
    </row>
    <row r="1099" spans="5:5">
      <c r="E1099"/>
    </row>
    <row r="1100" spans="5:5">
      <c r="E1100"/>
    </row>
    <row r="1101" spans="5:5">
      <c r="E1101"/>
    </row>
    <row r="1102" spans="5:5">
      <c r="E1102"/>
    </row>
    <row r="1103" spans="5:5">
      <c r="E1103"/>
    </row>
    <row r="1104" spans="5:5">
      <c r="E1104"/>
    </row>
    <row r="1105" spans="5:5">
      <c r="E1105"/>
    </row>
    <row r="1106" spans="5:5">
      <c r="E1106"/>
    </row>
    <row r="1107" spans="5:5">
      <c r="E1107"/>
    </row>
    <row r="1108" spans="5:5">
      <c r="E1108"/>
    </row>
    <row r="1109" spans="5:5">
      <c r="E1109"/>
    </row>
    <row r="1110" spans="5:5">
      <c r="E1110"/>
    </row>
    <row r="1111" spans="5:5">
      <c r="E1111"/>
    </row>
    <row r="1112" spans="5:5">
      <c r="E1112"/>
    </row>
    <row r="1113" spans="5:5">
      <c r="E1113"/>
    </row>
    <row r="1114" spans="5:5">
      <c r="E1114"/>
    </row>
    <row r="1115" spans="5:5">
      <c r="E1115"/>
    </row>
    <row r="1116" spans="5:5">
      <c r="E1116"/>
    </row>
    <row r="1117" spans="5:5">
      <c r="E1117"/>
    </row>
    <row r="1118" spans="5:5">
      <c r="E1118"/>
    </row>
    <row r="1119" spans="5:5">
      <c r="E1119"/>
    </row>
    <row r="1120" spans="5:5">
      <c r="E1120"/>
    </row>
    <row r="1121" spans="5:5">
      <c r="E1121"/>
    </row>
    <row r="1122" spans="5:5">
      <c r="E1122"/>
    </row>
    <row r="1123" spans="5:5">
      <c r="E1123"/>
    </row>
    <row r="1124" spans="5:5">
      <c r="E1124"/>
    </row>
    <row r="1125" spans="5:5">
      <c r="E1125"/>
    </row>
    <row r="1126" spans="5:5">
      <c r="E1126"/>
    </row>
    <row r="1127" spans="5:5">
      <c r="E1127"/>
    </row>
    <row r="1128" spans="5:5">
      <c r="E1128"/>
    </row>
    <row r="1129" spans="5:5">
      <c r="E1129"/>
    </row>
    <row r="1130" spans="5:5">
      <c r="E1130"/>
    </row>
    <row r="1131" spans="5:5">
      <c r="E1131"/>
    </row>
    <row r="1132" spans="5:5">
      <c r="E1132"/>
    </row>
    <row r="1133" spans="5:5">
      <c r="E1133"/>
    </row>
    <row r="1134" spans="5:5">
      <c r="E1134"/>
    </row>
    <row r="1135" spans="5:5">
      <c r="E1135"/>
    </row>
    <row r="1136" spans="5:5">
      <c r="E1136"/>
    </row>
    <row r="1137" spans="5:5">
      <c r="E1137"/>
    </row>
    <row r="1138" spans="5:5">
      <c r="E1138"/>
    </row>
    <row r="1139" spans="5:5">
      <c r="E1139"/>
    </row>
    <row r="1140" spans="5:5">
      <c r="E1140"/>
    </row>
    <row r="1141" spans="5:5">
      <c r="E1141"/>
    </row>
    <row r="1142" spans="5:5">
      <c r="E1142"/>
    </row>
    <row r="1143" spans="5:5">
      <c r="E1143"/>
    </row>
    <row r="1144" spans="5:5">
      <c r="E1144"/>
    </row>
    <row r="1145" spans="5:5">
      <c r="E1145"/>
    </row>
    <row r="1146" spans="5:5">
      <c r="E1146"/>
    </row>
    <row r="1147" spans="5:5">
      <c r="E1147"/>
    </row>
    <row r="1148" spans="5:5">
      <c r="E1148"/>
    </row>
    <row r="1149" spans="5:5">
      <c r="E1149"/>
    </row>
    <row r="1150" spans="5:5">
      <c r="E1150"/>
    </row>
    <row r="1151" spans="5:5">
      <c r="E1151"/>
    </row>
    <row r="1152" spans="5:5">
      <c r="E1152"/>
    </row>
    <row r="1153" spans="5:5">
      <c r="E1153"/>
    </row>
    <row r="1154" spans="5:5">
      <c r="E1154"/>
    </row>
    <row r="1155" spans="5:5">
      <c r="E1155"/>
    </row>
    <row r="1156" spans="5:5">
      <c r="E1156"/>
    </row>
    <row r="1157" spans="5:5">
      <c r="E1157"/>
    </row>
    <row r="1158" spans="5:5">
      <c r="E1158"/>
    </row>
    <row r="1159" spans="5:5">
      <c r="E1159"/>
    </row>
    <row r="1160" spans="5:5">
      <c r="E1160"/>
    </row>
    <row r="1161" spans="5:5">
      <c r="E1161"/>
    </row>
    <row r="1162" spans="5:5">
      <c r="E1162"/>
    </row>
    <row r="1163" spans="5:5">
      <c r="E1163"/>
    </row>
    <row r="1164" spans="5:5">
      <c r="E1164"/>
    </row>
    <row r="1165" spans="5:5">
      <c r="E1165"/>
    </row>
    <row r="1166" spans="5:5">
      <c r="E1166"/>
    </row>
    <row r="1167" spans="5:5">
      <c r="E1167"/>
    </row>
    <row r="1168" spans="5:5">
      <c r="E1168"/>
    </row>
    <row r="1169" spans="5:5">
      <c r="E1169"/>
    </row>
    <row r="1170" spans="5:5">
      <c r="E1170"/>
    </row>
    <row r="1171" spans="5:5">
      <c r="E1171"/>
    </row>
    <row r="1172" spans="5:5">
      <c r="E1172"/>
    </row>
    <row r="1173" spans="5:5">
      <c r="E1173"/>
    </row>
    <row r="1174" spans="5:5">
      <c r="E1174"/>
    </row>
    <row r="1175" spans="5:5">
      <c r="E1175"/>
    </row>
    <row r="1176" spans="5:5">
      <c r="E1176"/>
    </row>
    <row r="1177" spans="5:5">
      <c r="E1177"/>
    </row>
    <row r="1178" spans="5:5">
      <c r="E1178"/>
    </row>
    <row r="1179" spans="5:5">
      <c r="E1179"/>
    </row>
    <row r="1180" spans="5:5">
      <c r="E1180"/>
    </row>
    <row r="1181" spans="5:5">
      <c r="E1181"/>
    </row>
    <row r="1182" spans="5:5">
      <c r="E1182"/>
    </row>
    <row r="1183" spans="5:5">
      <c r="E1183"/>
    </row>
    <row r="1184" spans="5:5">
      <c r="E1184"/>
    </row>
    <row r="1185" spans="5:5">
      <c r="E1185"/>
    </row>
    <row r="1186" spans="5:5">
      <c r="E1186"/>
    </row>
    <row r="1187" spans="5:5">
      <c r="E1187"/>
    </row>
    <row r="1188" spans="5:5">
      <c r="E1188"/>
    </row>
    <row r="1189" spans="5:5">
      <c r="E1189"/>
    </row>
    <row r="1190" spans="5:5">
      <c r="E1190"/>
    </row>
    <row r="1191" spans="5:5">
      <c r="E1191"/>
    </row>
    <row r="1192" spans="5:5">
      <c r="E1192"/>
    </row>
    <row r="1193" spans="5:5">
      <c r="E1193"/>
    </row>
    <row r="1194" spans="5:5">
      <c r="E1194"/>
    </row>
    <row r="1195" spans="5:5">
      <c r="E1195"/>
    </row>
    <row r="1196" spans="5:5">
      <c r="E1196"/>
    </row>
    <row r="1197" spans="5:5">
      <c r="E1197"/>
    </row>
    <row r="1198" spans="5:5">
      <c r="E1198"/>
    </row>
    <row r="1199" spans="5:5">
      <c r="E1199"/>
    </row>
    <row r="1200" spans="5:5">
      <c r="E1200"/>
    </row>
    <row r="1201" spans="5:5">
      <c r="E1201"/>
    </row>
    <row r="1202" spans="5:5">
      <c r="E1202"/>
    </row>
    <row r="1203" spans="5:5">
      <c r="E1203"/>
    </row>
    <row r="1204" spans="5:5">
      <c r="E1204"/>
    </row>
    <row r="1205" spans="5:5">
      <c r="E1205"/>
    </row>
    <row r="1206" spans="5:5">
      <c r="E1206"/>
    </row>
    <row r="1207" spans="5:5">
      <c r="E1207"/>
    </row>
    <row r="1208" spans="5:5">
      <c r="E1208"/>
    </row>
    <row r="1209" spans="5:5">
      <c r="E1209"/>
    </row>
    <row r="1210" spans="5:5">
      <c r="E1210"/>
    </row>
    <row r="1211" spans="5:5">
      <c r="E1211"/>
    </row>
    <row r="1212" spans="5:5">
      <c r="E1212"/>
    </row>
    <row r="1213" spans="5:5">
      <c r="E1213"/>
    </row>
    <row r="1214" spans="5:5">
      <c r="E1214"/>
    </row>
    <row r="1215" spans="5:5">
      <c r="E1215"/>
    </row>
    <row r="1216" spans="5:5">
      <c r="E1216"/>
    </row>
    <row r="1217" spans="5:5">
      <c r="E1217"/>
    </row>
    <row r="1218" spans="5:5">
      <c r="E1218"/>
    </row>
    <row r="1219" spans="5:5">
      <c r="E1219"/>
    </row>
    <row r="1220" spans="5:5">
      <c r="E1220"/>
    </row>
    <row r="1221" spans="5:5">
      <c r="E1221"/>
    </row>
    <row r="1222" spans="5:5">
      <c r="E1222"/>
    </row>
    <row r="1223" spans="5:5">
      <c r="E1223"/>
    </row>
    <row r="1224" spans="5:5">
      <c r="E1224"/>
    </row>
    <row r="1225" spans="5:5">
      <c r="E1225"/>
    </row>
    <row r="1226" spans="5:5">
      <c r="E1226"/>
    </row>
    <row r="1227" spans="5:5">
      <c r="E1227"/>
    </row>
    <row r="1228" spans="5:5">
      <c r="E1228"/>
    </row>
    <row r="1229" spans="5:5">
      <c r="E1229"/>
    </row>
    <row r="1230" spans="5:5">
      <c r="E1230"/>
    </row>
    <row r="1231" spans="5:5">
      <c r="E1231"/>
    </row>
    <row r="1232" spans="5:5">
      <c r="E1232"/>
    </row>
    <row r="1233" spans="5:5">
      <c r="E1233"/>
    </row>
    <row r="1234" spans="5:5">
      <c r="E1234"/>
    </row>
    <row r="1235" spans="5:5">
      <c r="E1235"/>
    </row>
    <row r="1236" spans="5:5">
      <c r="E1236"/>
    </row>
    <row r="1237" spans="5:5">
      <c r="E1237"/>
    </row>
    <row r="1238" spans="5:5">
      <c r="E1238"/>
    </row>
    <row r="1239" spans="5:5">
      <c r="E1239"/>
    </row>
    <row r="1240" spans="5:5">
      <c r="E1240"/>
    </row>
    <row r="1241" spans="5:5">
      <c r="E1241"/>
    </row>
    <row r="1242" spans="5:5">
      <c r="E1242"/>
    </row>
    <row r="1243" spans="5:5">
      <c r="E1243"/>
    </row>
    <row r="1244" spans="5:5">
      <c r="E1244"/>
    </row>
    <row r="1245" spans="5:5">
      <c r="E1245"/>
    </row>
    <row r="1246" spans="5:5">
      <c r="E1246"/>
    </row>
    <row r="1247" spans="5:5">
      <c r="E1247"/>
    </row>
    <row r="1248" spans="5:5">
      <c r="E1248"/>
    </row>
    <row r="1249" spans="5:5">
      <c r="E1249"/>
    </row>
    <row r="1250" spans="5:5">
      <c r="E1250"/>
    </row>
    <row r="1251" spans="5:5">
      <c r="E1251"/>
    </row>
    <row r="1252" spans="5:5">
      <c r="E1252"/>
    </row>
    <row r="1253" spans="5:5">
      <c r="E1253"/>
    </row>
    <row r="1254" spans="5:5">
      <c r="E1254"/>
    </row>
    <row r="1255" spans="5:5">
      <c r="E1255"/>
    </row>
  </sheetData>
  <mergeCells count="31">
    <mergeCell ref="A16:B17"/>
    <mergeCell ref="A80:B80"/>
    <mergeCell ref="P85:AA85"/>
    <mergeCell ref="I18:J18"/>
    <mergeCell ref="L18:M18"/>
    <mergeCell ref="O18:P18"/>
    <mergeCell ref="R18:S18"/>
    <mergeCell ref="C65:W65"/>
    <mergeCell ref="C72:W72"/>
    <mergeCell ref="C78:W78"/>
    <mergeCell ref="C18:D18"/>
    <mergeCell ref="F18:G18"/>
    <mergeCell ref="U18:V18"/>
    <mergeCell ref="A20:AC20"/>
    <mergeCell ref="P86:AA86"/>
    <mergeCell ref="F1:T8"/>
    <mergeCell ref="C30:W30"/>
    <mergeCell ref="C40:W40"/>
    <mergeCell ref="C49:W49"/>
    <mergeCell ref="C58:W58"/>
    <mergeCell ref="C16:E17"/>
    <mergeCell ref="U16:W17"/>
    <mergeCell ref="A10:AC10"/>
    <mergeCell ref="A12:AC12"/>
    <mergeCell ref="A13:AC13"/>
    <mergeCell ref="F16:S16"/>
    <mergeCell ref="F17:H17"/>
    <mergeCell ref="I17:K17"/>
    <mergeCell ref="L17:N17"/>
    <mergeCell ref="O17:Q17"/>
    <mergeCell ref="R17:T17"/>
  </mergeCells>
  <pageMargins left="0.25" right="0.25" top="0.75" bottom="0.75" header="0.3" footer="0.3"/>
  <pageSetup paperSize="256" scale="37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T719"/>
  <sheetViews>
    <sheetView tabSelected="1" topLeftCell="A31" zoomScaleNormal="100" zoomScalePageLayoutView="85" workbookViewId="0">
      <selection activeCell="E36" sqref="E36"/>
    </sheetView>
  </sheetViews>
  <sheetFormatPr defaultColWidth="9" defaultRowHeight="15"/>
  <cols>
    <col min="1" max="1" width="7.140625" customWidth="1"/>
    <col min="2" max="2" width="16.140625" customWidth="1"/>
    <col min="3" max="3" width="32.85546875" customWidth="1"/>
    <col min="4" max="4" width="56" customWidth="1"/>
    <col min="5" max="5" width="46.85546875" customWidth="1"/>
    <col min="6" max="6" width="14.42578125" customWidth="1"/>
    <col min="7" max="7" width="19.5703125" customWidth="1"/>
    <col min="8" max="8" width="9.85546875" customWidth="1"/>
  </cols>
  <sheetData>
    <row r="1" spans="1:11" ht="15" customHeight="1">
      <c r="D1" s="312" t="s">
        <v>123</v>
      </c>
      <c r="E1" s="312"/>
      <c r="F1" s="312"/>
    </row>
    <row r="2" spans="1:11">
      <c r="D2" s="312"/>
      <c r="E2" s="312"/>
      <c r="F2" s="312"/>
    </row>
    <row r="3" spans="1:11">
      <c r="D3" s="312"/>
      <c r="E3" s="312"/>
      <c r="F3" s="312"/>
    </row>
    <row r="4" spans="1:11">
      <c r="D4" s="312"/>
      <c r="E4" s="312"/>
      <c r="F4" s="312"/>
    </row>
    <row r="5" spans="1:11">
      <c r="D5" s="312"/>
      <c r="E5" s="312"/>
      <c r="F5" s="312"/>
    </row>
    <row r="6" spans="1:11">
      <c r="D6" s="312"/>
      <c r="E6" s="312"/>
      <c r="F6" s="312"/>
    </row>
    <row r="7" spans="1:11" ht="23.25" customHeight="1">
      <c r="D7" s="312"/>
      <c r="E7" s="312"/>
      <c r="F7" s="312"/>
    </row>
    <row r="10" spans="1:11" s="5" customFormat="1" ht="20.25">
      <c r="B10" s="344" t="s">
        <v>1630</v>
      </c>
      <c r="C10" s="344"/>
      <c r="D10" s="344"/>
      <c r="E10" s="344"/>
      <c r="F10" s="344"/>
      <c r="G10" s="344"/>
      <c r="H10" s="344"/>
      <c r="I10" s="344"/>
    </row>
    <row r="12" spans="1:11" s="5" customFormat="1" ht="20.25">
      <c r="B12" s="308" t="s">
        <v>124</v>
      </c>
      <c r="C12" s="308"/>
      <c r="D12" s="308"/>
      <c r="E12" s="308"/>
      <c r="F12" s="308"/>
      <c r="G12" s="308"/>
      <c r="H12" s="308"/>
      <c r="I12" s="308"/>
    </row>
    <row r="13" spans="1:11" ht="15.75">
      <c r="A13" s="309"/>
      <c r="B13" s="309"/>
      <c r="C13" s="309"/>
      <c r="D13" s="309"/>
      <c r="E13" s="309"/>
      <c r="F13" s="309"/>
      <c r="G13" s="309"/>
      <c r="H13" s="309"/>
      <c r="K13" s="177"/>
    </row>
    <row r="14" spans="1:11" ht="10.5" customHeight="1"/>
    <row r="15" spans="1:11" s="1" customFormat="1" ht="18.75">
      <c r="A15" s="18" t="s">
        <v>125</v>
      </c>
    </row>
    <row r="16" spans="1:11" ht="15.75">
      <c r="A16" s="21"/>
    </row>
    <row r="17" spans="1:10" s="2" customFormat="1" ht="17.25">
      <c r="A17" s="310" t="s">
        <v>126</v>
      </c>
      <c r="B17" s="310"/>
      <c r="C17" s="310"/>
      <c r="D17" s="310"/>
      <c r="E17" s="310"/>
      <c r="F17" s="310"/>
      <c r="G17" s="310"/>
      <c r="H17" s="310"/>
      <c r="I17" s="36"/>
      <c r="J17" s="36"/>
    </row>
    <row r="18" spans="1:10" s="2" customFormat="1" ht="33">
      <c r="A18" s="24" t="s">
        <v>127</v>
      </c>
      <c r="B18" s="25" t="s">
        <v>128</v>
      </c>
      <c r="C18" s="25" t="s">
        <v>129</v>
      </c>
      <c r="D18" s="25" t="s">
        <v>1</v>
      </c>
      <c r="E18" s="25" t="s">
        <v>130</v>
      </c>
      <c r="F18" s="25" t="s">
        <v>131</v>
      </c>
      <c r="G18" s="25" t="s">
        <v>132</v>
      </c>
      <c r="H18" s="25" t="s">
        <v>133</v>
      </c>
    </row>
    <row r="19" spans="1:10" ht="75">
      <c r="A19" s="345">
        <v>1</v>
      </c>
      <c r="B19" s="345" t="s">
        <v>134</v>
      </c>
      <c r="C19" s="355" t="s">
        <v>135</v>
      </c>
      <c r="D19" s="352" t="s">
        <v>136</v>
      </c>
      <c r="E19" s="356" t="s">
        <v>137</v>
      </c>
      <c r="F19" s="345">
        <v>2022</v>
      </c>
      <c r="G19" s="351">
        <v>3274698</v>
      </c>
      <c r="H19" s="345" t="s">
        <v>138</v>
      </c>
    </row>
    <row r="20" spans="1:10" ht="63" customHeight="1">
      <c r="A20" s="345">
        <v>2</v>
      </c>
      <c r="B20" s="345" t="s">
        <v>134</v>
      </c>
      <c r="C20" s="355" t="s">
        <v>139</v>
      </c>
      <c r="D20" s="352" t="s">
        <v>140</v>
      </c>
      <c r="E20" s="356" t="s">
        <v>141</v>
      </c>
      <c r="F20" s="345">
        <v>2020</v>
      </c>
      <c r="G20" s="351">
        <v>2725246</v>
      </c>
      <c r="H20" s="345" t="s">
        <v>138</v>
      </c>
    </row>
    <row r="21" spans="1:10" ht="34.5" customHeight="1">
      <c r="A21" s="345">
        <v>3</v>
      </c>
      <c r="B21" s="345" t="s">
        <v>134</v>
      </c>
      <c r="C21" s="357" t="s">
        <v>142</v>
      </c>
      <c r="D21" s="352" t="s">
        <v>143</v>
      </c>
      <c r="E21" s="356" t="s">
        <v>144</v>
      </c>
      <c r="F21" s="345">
        <v>2020</v>
      </c>
      <c r="G21" s="358">
        <v>2393515</v>
      </c>
      <c r="H21" s="345" t="s">
        <v>138</v>
      </c>
    </row>
    <row r="22" spans="1:10" ht="34.5" customHeight="1">
      <c r="A22" s="345">
        <v>4</v>
      </c>
      <c r="B22" s="345" t="s">
        <v>134</v>
      </c>
      <c r="C22" s="352" t="s">
        <v>145</v>
      </c>
      <c r="D22" s="357" t="s">
        <v>146</v>
      </c>
      <c r="E22" s="356" t="s">
        <v>147</v>
      </c>
      <c r="F22" s="358">
        <v>2020</v>
      </c>
      <c r="G22" s="345">
        <v>2649036</v>
      </c>
      <c r="H22" s="345" t="s">
        <v>138</v>
      </c>
    </row>
    <row r="23" spans="1:10" ht="34.5" customHeight="1">
      <c r="A23" s="345">
        <v>5</v>
      </c>
      <c r="B23" s="345" t="s">
        <v>134</v>
      </c>
      <c r="C23" s="352" t="s">
        <v>148</v>
      </c>
      <c r="D23" s="352" t="s">
        <v>149</v>
      </c>
      <c r="E23" s="356" t="s">
        <v>150</v>
      </c>
      <c r="F23" s="345">
        <v>2020</v>
      </c>
      <c r="G23" s="345">
        <v>2669214</v>
      </c>
      <c r="H23" s="345" t="s">
        <v>138</v>
      </c>
    </row>
    <row r="24" spans="1:10" ht="54" customHeight="1">
      <c r="A24" s="345">
        <v>6</v>
      </c>
      <c r="B24" s="351" t="s">
        <v>151</v>
      </c>
      <c r="C24" s="352" t="s">
        <v>152</v>
      </c>
      <c r="D24" s="352" t="s">
        <v>153</v>
      </c>
      <c r="E24" s="353"/>
      <c r="F24" s="351">
        <v>2019</v>
      </c>
      <c r="G24" s="351" t="s">
        <v>154</v>
      </c>
      <c r="H24" s="351">
        <v>3</v>
      </c>
    </row>
    <row r="25" spans="1:10" ht="50.25" customHeight="1">
      <c r="A25" s="345">
        <v>7</v>
      </c>
      <c r="B25" s="351" t="s">
        <v>155</v>
      </c>
      <c r="C25" s="352" t="s">
        <v>156</v>
      </c>
      <c r="D25" s="352" t="s">
        <v>157</v>
      </c>
      <c r="E25" s="354"/>
      <c r="F25" s="351">
        <v>2019</v>
      </c>
      <c r="G25" s="351" t="s">
        <v>158</v>
      </c>
      <c r="H25" s="345">
        <v>3</v>
      </c>
    </row>
    <row r="30" spans="1:10" s="2" customFormat="1" ht="17.25">
      <c r="A30" s="36" t="s">
        <v>159</v>
      </c>
      <c r="B30" s="4"/>
      <c r="C30" s="36"/>
      <c r="D30" s="36"/>
      <c r="E30" s="36"/>
      <c r="F30" s="36"/>
      <c r="G30" s="36"/>
      <c r="H30" s="36"/>
    </row>
    <row r="31" spans="1:10" s="2" customFormat="1" ht="33">
      <c r="A31" s="24" t="s">
        <v>127</v>
      </c>
      <c r="B31" s="25" t="s">
        <v>128</v>
      </c>
      <c r="C31" s="25" t="s">
        <v>129</v>
      </c>
      <c r="D31" s="25" t="s">
        <v>1</v>
      </c>
      <c r="E31" s="25" t="s">
        <v>130</v>
      </c>
      <c r="F31" s="25" t="s">
        <v>131</v>
      </c>
      <c r="G31" s="25" t="s">
        <v>132</v>
      </c>
      <c r="H31" s="25" t="s">
        <v>133</v>
      </c>
    </row>
    <row r="32" spans="1:10" ht="55.5" customHeight="1">
      <c r="A32" s="27">
        <v>1</v>
      </c>
      <c r="B32" s="33" t="s">
        <v>160</v>
      </c>
      <c r="C32" s="31" t="s">
        <v>161</v>
      </c>
      <c r="D32" s="31" t="s">
        <v>162</v>
      </c>
      <c r="E32" s="38" t="s">
        <v>163</v>
      </c>
      <c r="F32" s="33">
        <v>2022</v>
      </c>
      <c r="G32" s="33">
        <v>3104606</v>
      </c>
      <c r="H32" s="33" t="s">
        <v>138</v>
      </c>
    </row>
    <row r="33" spans="1:10" ht="51.75" customHeight="1">
      <c r="A33" s="27">
        <v>2</v>
      </c>
      <c r="B33" s="33" t="s">
        <v>160</v>
      </c>
      <c r="C33" s="31" t="s">
        <v>164</v>
      </c>
      <c r="D33" s="31" t="s">
        <v>165</v>
      </c>
      <c r="E33" s="38" t="s">
        <v>166</v>
      </c>
      <c r="F33" s="33">
        <v>2021</v>
      </c>
      <c r="G33" s="33">
        <v>3017799</v>
      </c>
      <c r="H33" s="33" t="s">
        <v>138</v>
      </c>
    </row>
    <row r="34" spans="1:10" ht="51.75" customHeight="1">
      <c r="A34" s="27">
        <v>3</v>
      </c>
      <c r="B34" s="33" t="s">
        <v>160</v>
      </c>
      <c r="C34" s="31" t="s">
        <v>167</v>
      </c>
      <c r="D34" s="31" t="s">
        <v>168</v>
      </c>
      <c r="E34" s="38" t="s">
        <v>169</v>
      </c>
      <c r="F34" s="33">
        <v>2020</v>
      </c>
      <c r="G34" s="33">
        <v>2324340</v>
      </c>
      <c r="H34" s="33" t="s">
        <v>138</v>
      </c>
    </row>
    <row r="35" spans="1:10" ht="51.75" customHeight="1">
      <c r="A35" s="27">
        <v>4</v>
      </c>
      <c r="B35" s="33" t="s">
        <v>170</v>
      </c>
      <c r="C35" s="31" t="s">
        <v>171</v>
      </c>
      <c r="D35" s="31" t="s">
        <v>14</v>
      </c>
      <c r="E35" s="30"/>
      <c r="F35" s="33">
        <v>2019</v>
      </c>
      <c r="G35" s="33" t="s">
        <v>172</v>
      </c>
      <c r="H35" s="33">
        <v>3</v>
      </c>
    </row>
    <row r="36" spans="1:10" ht="51.75" customHeight="1">
      <c r="A36" s="27">
        <v>5</v>
      </c>
      <c r="B36" s="33" t="s">
        <v>173</v>
      </c>
      <c r="C36" s="31" t="s">
        <v>174</v>
      </c>
      <c r="D36" s="31" t="s">
        <v>175</v>
      </c>
      <c r="E36" s="30"/>
      <c r="F36" s="33">
        <v>2019</v>
      </c>
      <c r="G36" s="33" t="s">
        <v>176</v>
      </c>
      <c r="H36" s="33">
        <v>3</v>
      </c>
    </row>
    <row r="37" spans="1:10" ht="15.75">
      <c r="A37" s="35"/>
      <c r="B37" s="34"/>
      <c r="C37" s="170"/>
      <c r="D37" s="68"/>
      <c r="E37" s="68"/>
      <c r="F37" s="68"/>
      <c r="G37" s="34"/>
      <c r="H37" s="172"/>
    </row>
    <row r="38" spans="1:10" ht="15.75">
      <c r="A38" s="35"/>
      <c r="B38" s="34"/>
      <c r="C38" s="170"/>
      <c r="D38" s="68"/>
      <c r="E38" s="68"/>
      <c r="F38" s="68"/>
      <c r="G38" s="34"/>
      <c r="H38" s="172"/>
    </row>
    <row r="40" spans="1:10" s="2" customFormat="1" ht="17.25">
      <c r="A40" s="36" t="s">
        <v>177</v>
      </c>
      <c r="B40" s="36"/>
      <c r="C40" s="36"/>
      <c r="D40" s="36"/>
      <c r="E40" s="36"/>
      <c r="F40" s="36"/>
      <c r="G40" s="36"/>
      <c r="H40" s="36"/>
      <c r="I40" s="36"/>
      <c r="J40" s="36"/>
    </row>
    <row r="41" spans="1:10" s="2" customFormat="1" ht="33">
      <c r="A41" s="24" t="s">
        <v>127</v>
      </c>
      <c r="B41" s="25" t="s">
        <v>128</v>
      </c>
      <c r="C41" s="25" t="s">
        <v>129</v>
      </c>
      <c r="D41" s="25" t="s">
        <v>1</v>
      </c>
      <c r="E41" s="25" t="s">
        <v>130</v>
      </c>
      <c r="F41" s="25" t="s">
        <v>131</v>
      </c>
      <c r="G41" s="25" t="s">
        <v>132</v>
      </c>
      <c r="H41" s="25" t="s">
        <v>133</v>
      </c>
    </row>
    <row r="42" spans="1:10" ht="60" customHeight="1">
      <c r="A42" s="27">
        <v>1</v>
      </c>
      <c r="B42" s="33" t="s">
        <v>160</v>
      </c>
      <c r="C42" s="31" t="s">
        <v>178</v>
      </c>
      <c r="D42" s="31" t="s">
        <v>179</v>
      </c>
      <c r="E42" s="39" t="s">
        <v>180</v>
      </c>
      <c r="F42" s="33">
        <v>2021</v>
      </c>
      <c r="G42" s="40">
        <v>2569831</v>
      </c>
      <c r="H42" s="33" t="s">
        <v>138</v>
      </c>
    </row>
    <row r="43" spans="1:10" ht="60" customHeight="1">
      <c r="A43" s="27">
        <v>2</v>
      </c>
      <c r="B43" s="33" t="s">
        <v>160</v>
      </c>
      <c r="C43" s="31" t="s">
        <v>181</v>
      </c>
      <c r="D43" s="31" t="s">
        <v>182</v>
      </c>
      <c r="E43" s="39" t="s">
        <v>183</v>
      </c>
      <c r="F43" s="33">
        <v>2021</v>
      </c>
      <c r="G43" s="40">
        <v>2731856</v>
      </c>
      <c r="H43" s="33" t="s">
        <v>138</v>
      </c>
    </row>
    <row r="44" spans="1:10" ht="60" customHeight="1">
      <c r="A44" s="27">
        <v>3</v>
      </c>
      <c r="B44" s="33" t="s">
        <v>160</v>
      </c>
      <c r="C44" s="31" t="s">
        <v>184</v>
      </c>
      <c r="D44" s="31" t="s">
        <v>185</v>
      </c>
      <c r="E44" s="39" t="s">
        <v>186</v>
      </c>
      <c r="F44" s="33">
        <v>2021</v>
      </c>
      <c r="G44" s="40">
        <v>2895206</v>
      </c>
      <c r="H44" s="33" t="s">
        <v>138</v>
      </c>
    </row>
    <row r="45" spans="1:10" ht="60" customHeight="1">
      <c r="A45" s="27">
        <v>4</v>
      </c>
      <c r="B45" s="33" t="s">
        <v>160</v>
      </c>
      <c r="C45" s="31" t="s">
        <v>187</v>
      </c>
      <c r="D45" s="31" t="s">
        <v>188</v>
      </c>
      <c r="E45" s="39" t="s">
        <v>189</v>
      </c>
      <c r="F45" s="33">
        <v>2020</v>
      </c>
      <c r="G45" s="40">
        <v>2624084</v>
      </c>
      <c r="H45" s="33" t="s">
        <v>138</v>
      </c>
    </row>
    <row r="46" spans="1:10" ht="60" customHeight="1">
      <c r="A46" s="27">
        <v>5</v>
      </c>
      <c r="B46" s="33" t="s">
        <v>160</v>
      </c>
      <c r="C46" s="31" t="s">
        <v>190</v>
      </c>
      <c r="D46" s="31" t="s">
        <v>191</v>
      </c>
      <c r="E46" s="39" t="s">
        <v>192</v>
      </c>
      <c r="F46" s="33">
        <v>2020</v>
      </c>
      <c r="G46" s="40">
        <v>2576677</v>
      </c>
      <c r="H46" s="33" t="s">
        <v>138</v>
      </c>
    </row>
    <row r="47" spans="1:10" ht="60" customHeight="1">
      <c r="A47" s="27">
        <v>6</v>
      </c>
      <c r="B47" s="33" t="s">
        <v>193</v>
      </c>
      <c r="C47" s="31" t="s">
        <v>194</v>
      </c>
      <c r="D47" s="31" t="s">
        <v>16</v>
      </c>
      <c r="E47" s="30"/>
      <c r="F47" s="33">
        <v>2019</v>
      </c>
      <c r="G47" s="33" t="s">
        <v>195</v>
      </c>
      <c r="H47" s="33">
        <v>3</v>
      </c>
    </row>
    <row r="48" spans="1:10" ht="60" customHeight="1">
      <c r="A48" s="27">
        <v>7</v>
      </c>
      <c r="B48" s="33" t="s">
        <v>196</v>
      </c>
      <c r="C48" s="31" t="s">
        <v>197</v>
      </c>
      <c r="D48" s="31" t="s">
        <v>198</v>
      </c>
      <c r="E48" s="30"/>
      <c r="F48" s="33">
        <v>2019</v>
      </c>
      <c r="G48" s="33" t="s">
        <v>199</v>
      </c>
      <c r="H48" s="33">
        <v>3</v>
      </c>
    </row>
    <row r="49" spans="1:10" ht="45">
      <c r="A49" s="48">
        <v>8</v>
      </c>
      <c r="B49" s="30">
        <v>170.71</v>
      </c>
      <c r="C49" s="50" t="s">
        <v>200</v>
      </c>
      <c r="D49" s="50" t="s">
        <v>201</v>
      </c>
      <c r="E49" s="50"/>
      <c r="F49" s="51" t="s">
        <v>202</v>
      </c>
      <c r="G49" s="51">
        <v>1622667</v>
      </c>
      <c r="H49" s="51">
        <v>1</v>
      </c>
    </row>
    <row r="50" spans="1:10">
      <c r="A50" s="48">
        <v>9</v>
      </c>
      <c r="B50" s="30">
        <v>100</v>
      </c>
      <c r="C50" s="51" t="s">
        <v>203</v>
      </c>
      <c r="D50" s="50" t="s">
        <v>204</v>
      </c>
      <c r="E50" s="50"/>
      <c r="F50" s="51" t="s">
        <v>202</v>
      </c>
      <c r="G50" s="51">
        <v>1584980</v>
      </c>
      <c r="H50" s="51">
        <v>1</v>
      </c>
    </row>
    <row r="51" spans="1:10">
      <c r="A51" s="96"/>
      <c r="B51" s="82"/>
      <c r="C51" s="173"/>
      <c r="D51" s="174"/>
      <c r="E51" s="174"/>
      <c r="F51" s="173"/>
      <c r="G51" s="173"/>
      <c r="H51" s="173"/>
    </row>
    <row r="54" spans="1:10" s="2" customFormat="1" ht="17.25">
      <c r="A54" s="311" t="s">
        <v>205</v>
      </c>
      <c r="B54" s="311"/>
      <c r="C54" s="311"/>
      <c r="D54" s="311"/>
      <c r="E54" s="311"/>
      <c r="F54" s="311"/>
      <c r="G54" s="311"/>
      <c r="H54" s="311"/>
      <c r="I54" s="311"/>
      <c r="J54" s="311"/>
    </row>
    <row r="55" spans="1:10" s="2" customFormat="1" ht="33">
      <c r="A55" s="24" t="s">
        <v>127</v>
      </c>
      <c r="B55" s="25" t="s">
        <v>128</v>
      </c>
      <c r="C55" s="25" t="s">
        <v>129</v>
      </c>
      <c r="D55" s="25" t="s">
        <v>1</v>
      </c>
      <c r="E55" s="25" t="s">
        <v>130</v>
      </c>
      <c r="F55" s="25" t="s">
        <v>131</v>
      </c>
      <c r="G55" s="25" t="s">
        <v>132</v>
      </c>
      <c r="H55" s="25" t="s">
        <v>133</v>
      </c>
    </row>
    <row r="56" spans="1:10" ht="65.25" customHeight="1">
      <c r="A56" s="57">
        <v>1</v>
      </c>
      <c r="B56" s="33" t="s">
        <v>134</v>
      </c>
      <c r="C56" s="41" t="s">
        <v>206</v>
      </c>
      <c r="D56" s="31" t="s">
        <v>207</v>
      </c>
      <c r="E56" s="39" t="s">
        <v>208</v>
      </c>
      <c r="F56" s="33">
        <v>2022</v>
      </c>
      <c r="G56" s="40">
        <v>3162474</v>
      </c>
      <c r="H56" s="33" t="s">
        <v>138</v>
      </c>
    </row>
    <row r="57" spans="1:10" ht="51.75" customHeight="1">
      <c r="A57" s="57">
        <v>2</v>
      </c>
      <c r="B57" s="33" t="s">
        <v>134</v>
      </c>
      <c r="C57" s="31" t="s">
        <v>209</v>
      </c>
      <c r="D57" s="31" t="s">
        <v>210</v>
      </c>
      <c r="E57" s="39" t="s">
        <v>211</v>
      </c>
      <c r="F57" s="33">
        <v>2021</v>
      </c>
      <c r="G57" s="40">
        <v>2898449</v>
      </c>
      <c r="H57" s="33" t="s">
        <v>138</v>
      </c>
    </row>
    <row r="58" spans="1:10" ht="55.5" customHeight="1">
      <c r="A58" s="57">
        <v>3</v>
      </c>
      <c r="B58" s="33" t="s">
        <v>134</v>
      </c>
      <c r="C58" s="31" t="s">
        <v>212</v>
      </c>
      <c r="D58" s="31" t="s">
        <v>213</v>
      </c>
      <c r="E58" s="39" t="s">
        <v>214</v>
      </c>
      <c r="F58" s="33">
        <v>2021</v>
      </c>
      <c r="G58" s="40">
        <v>2712155</v>
      </c>
      <c r="H58" s="33" t="s">
        <v>138</v>
      </c>
    </row>
    <row r="59" spans="1:10" ht="150">
      <c r="A59" s="27">
        <v>4</v>
      </c>
      <c r="B59" s="28" t="s">
        <v>215</v>
      </c>
      <c r="C59" s="29" t="s">
        <v>216</v>
      </c>
      <c r="D59" s="175" t="s">
        <v>217</v>
      </c>
      <c r="E59" s="175"/>
      <c r="F59" s="28">
        <v>2018</v>
      </c>
      <c r="G59" s="30" t="s">
        <v>218</v>
      </c>
      <c r="H59" s="28">
        <v>10</v>
      </c>
    </row>
    <row r="60" spans="1:10" ht="150">
      <c r="A60" s="27">
        <v>5</v>
      </c>
      <c r="B60" s="28" t="s">
        <v>219</v>
      </c>
      <c r="C60" s="29" t="s">
        <v>220</v>
      </c>
      <c r="D60" s="175" t="s">
        <v>18</v>
      </c>
      <c r="E60" s="175"/>
      <c r="F60" s="27">
        <v>2018</v>
      </c>
      <c r="G60" s="30" t="s">
        <v>221</v>
      </c>
      <c r="H60" s="28">
        <v>10</v>
      </c>
    </row>
    <row r="61" spans="1:10" ht="15.75">
      <c r="A61" s="58">
        <v>6</v>
      </c>
      <c r="B61" s="59">
        <v>170</v>
      </c>
      <c r="C61" s="176" t="s">
        <v>222</v>
      </c>
      <c r="D61" s="45" t="s">
        <v>223</v>
      </c>
      <c r="E61" s="59"/>
      <c r="F61" s="58">
        <v>2018</v>
      </c>
      <c r="G61" s="58">
        <v>1684225</v>
      </c>
      <c r="H61" s="58">
        <v>1</v>
      </c>
      <c r="I61" s="170"/>
      <c r="J61" s="5"/>
    </row>
    <row r="62" spans="1:10" ht="30">
      <c r="A62" s="58">
        <v>7</v>
      </c>
      <c r="B62" s="50">
        <v>170</v>
      </c>
      <c r="C62" s="176" t="s">
        <v>224</v>
      </c>
      <c r="D62" s="45" t="s">
        <v>225</v>
      </c>
      <c r="E62" s="59"/>
      <c r="F62" s="58">
        <v>2016</v>
      </c>
      <c r="G62" s="58">
        <v>1866534</v>
      </c>
      <c r="H62" s="58">
        <v>1</v>
      </c>
      <c r="I62" s="170"/>
      <c r="J62" s="5"/>
    </row>
    <row r="63" spans="1:10" ht="45">
      <c r="A63" s="27">
        <v>8</v>
      </c>
      <c r="B63" s="28" t="s">
        <v>226</v>
      </c>
      <c r="C63" s="29" t="s">
        <v>227</v>
      </c>
      <c r="D63" s="29" t="s">
        <v>228</v>
      </c>
      <c r="E63" s="175"/>
      <c r="F63" s="28">
        <v>2015</v>
      </c>
      <c r="G63" s="30" t="s">
        <v>229</v>
      </c>
      <c r="H63" s="28">
        <v>3</v>
      </c>
    </row>
    <row r="64" spans="1:10" ht="45">
      <c r="A64" s="27">
        <v>9</v>
      </c>
      <c r="B64" s="30" t="s">
        <v>230</v>
      </c>
      <c r="C64" s="30" t="s">
        <v>231</v>
      </c>
      <c r="D64" s="29" t="s">
        <v>232</v>
      </c>
      <c r="E64" s="175"/>
      <c r="F64" s="28">
        <v>2015</v>
      </c>
      <c r="G64" s="30" t="s">
        <v>233</v>
      </c>
      <c r="H64" s="28">
        <v>3</v>
      </c>
    </row>
    <row r="65" spans="1:10" ht="75">
      <c r="A65" s="27">
        <v>10</v>
      </c>
      <c r="B65" s="30" t="s">
        <v>234</v>
      </c>
      <c r="C65" s="30" t="s">
        <v>235</v>
      </c>
      <c r="D65" s="175" t="s">
        <v>236</v>
      </c>
      <c r="E65" s="175"/>
      <c r="F65" s="30">
        <v>2011</v>
      </c>
      <c r="G65" s="30" t="s">
        <v>237</v>
      </c>
      <c r="H65" s="28">
        <v>5</v>
      </c>
    </row>
    <row r="66" spans="1:10" ht="30">
      <c r="A66" s="27">
        <v>11</v>
      </c>
      <c r="B66" s="30" t="s">
        <v>238</v>
      </c>
      <c r="C66" s="30" t="s">
        <v>239</v>
      </c>
      <c r="D66" s="178" t="s">
        <v>240</v>
      </c>
      <c r="E66" s="178"/>
      <c r="F66" s="30">
        <v>2011</v>
      </c>
      <c r="G66" s="30" t="s">
        <v>241</v>
      </c>
      <c r="H66" s="28">
        <v>2</v>
      </c>
    </row>
    <row r="67" spans="1:10" ht="45">
      <c r="A67" s="27">
        <v>12</v>
      </c>
      <c r="B67" s="30" t="s">
        <v>238</v>
      </c>
      <c r="C67" s="30" t="s">
        <v>239</v>
      </c>
      <c r="D67" s="175" t="s">
        <v>242</v>
      </c>
      <c r="E67" s="175"/>
      <c r="F67" s="30">
        <v>2008</v>
      </c>
      <c r="G67" s="30" t="s">
        <v>243</v>
      </c>
      <c r="H67" s="28">
        <v>3</v>
      </c>
    </row>
    <row r="68" spans="1:10" ht="30">
      <c r="A68" s="27">
        <v>13</v>
      </c>
      <c r="B68" s="30" t="s">
        <v>244</v>
      </c>
      <c r="C68" s="48" t="s">
        <v>239</v>
      </c>
      <c r="D68" s="179" t="s">
        <v>245</v>
      </c>
      <c r="E68" s="179"/>
      <c r="F68" s="48">
        <v>2005</v>
      </c>
      <c r="G68" s="30" t="s">
        <v>246</v>
      </c>
      <c r="H68" s="27">
        <v>1</v>
      </c>
    </row>
    <row r="69" spans="1:10" ht="409.5">
      <c r="A69" s="27">
        <v>14</v>
      </c>
      <c r="B69" s="30" t="s">
        <v>247</v>
      </c>
      <c r="C69" s="30" t="s">
        <v>248</v>
      </c>
      <c r="D69" s="175" t="s">
        <v>249</v>
      </c>
      <c r="E69" s="175"/>
      <c r="F69" s="48">
        <v>2004</v>
      </c>
      <c r="G69" s="180" t="s">
        <v>250</v>
      </c>
      <c r="H69" s="27">
        <v>35</v>
      </c>
    </row>
    <row r="70" spans="1:10" ht="409.5">
      <c r="A70" s="27">
        <v>15</v>
      </c>
      <c r="B70" s="30" t="s">
        <v>251</v>
      </c>
      <c r="C70" s="30" t="s">
        <v>252</v>
      </c>
      <c r="D70" s="175" t="s">
        <v>232</v>
      </c>
      <c r="E70" s="175"/>
      <c r="F70" s="30">
        <v>2000</v>
      </c>
      <c r="G70" s="180" t="s">
        <v>253</v>
      </c>
      <c r="H70" s="30">
        <v>35</v>
      </c>
    </row>
    <row r="71" spans="1:10" ht="75">
      <c r="A71" s="27">
        <v>16</v>
      </c>
      <c r="B71" s="30" t="s">
        <v>254</v>
      </c>
      <c r="C71" s="30" t="s">
        <v>255</v>
      </c>
      <c r="D71" s="175" t="s">
        <v>256</v>
      </c>
      <c r="E71" s="175"/>
      <c r="F71" s="30">
        <v>2000</v>
      </c>
      <c r="G71" s="30" t="s">
        <v>257</v>
      </c>
      <c r="H71" s="28">
        <v>5</v>
      </c>
    </row>
    <row r="72" spans="1:10" ht="150">
      <c r="A72" s="27">
        <v>17</v>
      </c>
      <c r="B72" s="30" t="s">
        <v>258</v>
      </c>
      <c r="C72" s="48" t="s">
        <v>259</v>
      </c>
      <c r="D72" s="179" t="s">
        <v>260</v>
      </c>
      <c r="E72" s="179"/>
      <c r="F72" s="48">
        <v>1994</v>
      </c>
      <c r="G72" s="30" t="s">
        <v>261</v>
      </c>
      <c r="H72" s="28">
        <v>10</v>
      </c>
    </row>
    <row r="73" spans="1:10" ht="150">
      <c r="A73" s="27">
        <v>18</v>
      </c>
      <c r="B73" s="30" t="s">
        <v>262</v>
      </c>
      <c r="C73" s="30" t="s">
        <v>263</v>
      </c>
      <c r="D73" s="175" t="s">
        <v>264</v>
      </c>
      <c r="E73" s="175"/>
      <c r="F73" s="30">
        <v>1993</v>
      </c>
      <c r="G73" s="30" t="s">
        <v>265</v>
      </c>
      <c r="H73" s="28">
        <v>10</v>
      </c>
    </row>
    <row r="74" spans="1:10" ht="75">
      <c r="A74" s="27">
        <v>19</v>
      </c>
      <c r="B74" s="30" t="s">
        <v>266</v>
      </c>
      <c r="C74" s="30" t="s">
        <v>267</v>
      </c>
      <c r="D74" s="178" t="s">
        <v>268</v>
      </c>
      <c r="E74" s="178"/>
      <c r="F74" s="48">
        <v>1993</v>
      </c>
      <c r="G74" s="30" t="s">
        <v>269</v>
      </c>
      <c r="H74" s="28">
        <v>5</v>
      </c>
    </row>
    <row r="75" spans="1:10" ht="90">
      <c r="A75" s="27">
        <v>20</v>
      </c>
      <c r="B75" s="30" t="s">
        <v>270</v>
      </c>
      <c r="C75" s="30" t="s">
        <v>271</v>
      </c>
      <c r="D75" s="175" t="s">
        <v>272</v>
      </c>
      <c r="E75" s="175"/>
      <c r="F75" s="30">
        <v>1993</v>
      </c>
      <c r="G75" s="30" t="s">
        <v>273</v>
      </c>
      <c r="H75" s="28">
        <v>6</v>
      </c>
    </row>
    <row r="76" spans="1:10" ht="75">
      <c r="A76" s="27">
        <v>21</v>
      </c>
      <c r="B76" s="30" t="s">
        <v>274</v>
      </c>
      <c r="C76" s="30" t="s">
        <v>275</v>
      </c>
      <c r="D76" s="175" t="s">
        <v>276</v>
      </c>
      <c r="E76" s="175"/>
      <c r="F76" s="48">
        <v>1989</v>
      </c>
      <c r="G76" s="30" t="s">
        <v>277</v>
      </c>
      <c r="H76" s="28">
        <v>5</v>
      </c>
    </row>
    <row r="77" spans="1:10" ht="75">
      <c r="A77" s="27">
        <v>22</v>
      </c>
      <c r="B77" s="30" t="s">
        <v>278</v>
      </c>
      <c r="C77" s="30" t="s">
        <v>279</v>
      </c>
      <c r="D77" s="175" t="s">
        <v>280</v>
      </c>
      <c r="E77" s="175"/>
      <c r="F77" s="30">
        <v>1989</v>
      </c>
      <c r="G77" s="30" t="s">
        <v>281</v>
      </c>
      <c r="H77" s="28">
        <v>5</v>
      </c>
    </row>
    <row r="78" spans="1:10" ht="90">
      <c r="A78" s="27">
        <v>23</v>
      </c>
      <c r="B78" s="30" t="s">
        <v>258</v>
      </c>
      <c r="C78" s="30" t="s">
        <v>259</v>
      </c>
      <c r="D78" s="175" t="s">
        <v>282</v>
      </c>
      <c r="E78" s="175"/>
      <c r="F78" s="30">
        <v>1985</v>
      </c>
      <c r="G78" s="30" t="s">
        <v>283</v>
      </c>
      <c r="H78" s="28">
        <v>10</v>
      </c>
    </row>
    <row r="79" spans="1:10" ht="15.75">
      <c r="A79" s="35"/>
      <c r="B79" s="68"/>
      <c r="C79" s="170"/>
      <c r="D79" s="68"/>
      <c r="E79" s="68"/>
      <c r="F79" s="68"/>
      <c r="G79" s="68"/>
      <c r="H79" s="172"/>
      <c r="I79" s="169"/>
      <c r="J79" s="5"/>
    </row>
    <row r="80" spans="1:10" ht="15.75">
      <c r="A80" s="35"/>
      <c r="B80" s="68"/>
      <c r="C80" s="170"/>
      <c r="D80" s="68"/>
      <c r="E80" s="68"/>
      <c r="F80" s="68"/>
      <c r="G80" s="68"/>
      <c r="H80" s="172"/>
      <c r="I80" s="169"/>
      <c r="J80" s="5"/>
    </row>
    <row r="83" spans="1:8" s="2" customFormat="1" ht="17.25">
      <c r="A83" s="22" t="s">
        <v>284</v>
      </c>
      <c r="B83" s="22"/>
      <c r="C83" s="22"/>
      <c r="D83" s="22"/>
      <c r="E83" s="22"/>
      <c r="F83" s="22"/>
      <c r="G83" s="22"/>
      <c r="H83" s="22"/>
    </row>
    <row r="84" spans="1:8" s="2" customFormat="1" ht="33">
      <c r="A84" s="24" t="s">
        <v>127</v>
      </c>
      <c r="B84" s="25" t="s">
        <v>128</v>
      </c>
      <c r="C84" s="25" t="s">
        <v>129</v>
      </c>
      <c r="D84" s="25" t="s">
        <v>1</v>
      </c>
      <c r="E84" s="25" t="s">
        <v>130</v>
      </c>
      <c r="F84" s="25" t="s">
        <v>131</v>
      </c>
      <c r="G84" s="25" t="s">
        <v>132</v>
      </c>
      <c r="H84" s="25" t="s">
        <v>133</v>
      </c>
    </row>
    <row r="85" spans="1:8" ht="44.25" customHeight="1">
      <c r="A85" s="57">
        <v>1</v>
      </c>
      <c r="B85" s="33" t="s">
        <v>134</v>
      </c>
      <c r="C85" s="31" t="s">
        <v>285</v>
      </c>
      <c r="D85" s="31" t="s">
        <v>286</v>
      </c>
      <c r="E85" s="39" t="s">
        <v>287</v>
      </c>
      <c r="F85" s="33">
        <v>2022</v>
      </c>
      <c r="G85" s="44">
        <v>3472486</v>
      </c>
      <c r="H85" s="33" t="s">
        <v>138</v>
      </c>
    </row>
    <row r="86" spans="1:8" ht="45.75" customHeight="1">
      <c r="A86" s="57">
        <v>2</v>
      </c>
      <c r="B86" s="33" t="s">
        <v>134</v>
      </c>
      <c r="C86" s="31" t="s">
        <v>288</v>
      </c>
      <c r="D86" s="31" t="s">
        <v>289</v>
      </c>
      <c r="E86" s="39" t="s">
        <v>290</v>
      </c>
      <c r="F86" s="33">
        <v>2021</v>
      </c>
      <c r="G86" s="44">
        <v>2682449</v>
      </c>
      <c r="H86" s="33" t="s">
        <v>138</v>
      </c>
    </row>
    <row r="87" spans="1:8" ht="65.25" customHeight="1">
      <c r="A87" s="57">
        <v>3</v>
      </c>
      <c r="B87" s="33" t="s">
        <v>291</v>
      </c>
      <c r="C87" s="31" t="s">
        <v>292</v>
      </c>
      <c r="D87" s="31" t="s">
        <v>20</v>
      </c>
      <c r="E87" s="39"/>
      <c r="F87" s="33">
        <v>2019</v>
      </c>
      <c r="G87" s="40" t="s">
        <v>293</v>
      </c>
      <c r="H87" s="33">
        <v>2</v>
      </c>
    </row>
    <row r="88" spans="1:8" ht="65.25" customHeight="1">
      <c r="A88" s="57">
        <v>4</v>
      </c>
      <c r="B88" s="33" t="s">
        <v>134</v>
      </c>
      <c r="C88" s="31" t="s">
        <v>294</v>
      </c>
      <c r="D88" s="45" t="s">
        <v>295</v>
      </c>
      <c r="E88" s="39" t="s">
        <v>296</v>
      </c>
      <c r="F88" s="33">
        <v>2019</v>
      </c>
      <c r="G88" s="44">
        <v>2018031</v>
      </c>
      <c r="H88" s="33" t="s">
        <v>138</v>
      </c>
    </row>
    <row r="89" spans="1:8" ht="105">
      <c r="A89" s="27">
        <v>5</v>
      </c>
      <c r="B89" s="28" t="s">
        <v>160</v>
      </c>
      <c r="C89" s="176" t="s">
        <v>294</v>
      </c>
      <c r="D89" s="45" t="s">
        <v>297</v>
      </c>
      <c r="E89" s="181" t="s">
        <v>298</v>
      </c>
      <c r="F89" s="51">
        <v>2019</v>
      </c>
      <c r="G89" s="58">
        <v>2018031</v>
      </c>
      <c r="H89" s="59">
        <v>1</v>
      </c>
    </row>
    <row r="90" spans="1:8" ht="30">
      <c r="A90" s="27">
        <v>7</v>
      </c>
      <c r="B90" s="59" t="s">
        <v>299</v>
      </c>
      <c r="C90" s="176" t="s">
        <v>300</v>
      </c>
      <c r="D90" s="45" t="s">
        <v>301</v>
      </c>
      <c r="E90" s="50"/>
      <c r="F90" s="51">
        <v>2018</v>
      </c>
      <c r="G90" s="58">
        <v>1908742</v>
      </c>
      <c r="H90" s="28">
        <v>1</v>
      </c>
    </row>
    <row r="91" spans="1:8" ht="45">
      <c r="A91" s="27">
        <v>8</v>
      </c>
      <c r="B91" s="28" t="s">
        <v>302</v>
      </c>
      <c r="C91" s="29" t="s">
        <v>303</v>
      </c>
      <c r="D91" s="29" t="s">
        <v>20</v>
      </c>
      <c r="E91" s="175"/>
      <c r="F91" s="30">
        <v>2017</v>
      </c>
      <c r="G91" s="28" t="s">
        <v>304</v>
      </c>
      <c r="H91" s="28">
        <v>3</v>
      </c>
    </row>
    <row r="92" spans="1:8" ht="30">
      <c r="A92" s="27">
        <v>9</v>
      </c>
      <c r="B92" s="28">
        <v>153.68</v>
      </c>
      <c r="C92" s="182" t="s">
        <v>305</v>
      </c>
      <c r="D92" s="45" t="s">
        <v>306</v>
      </c>
      <c r="E92" s="183"/>
      <c r="F92" s="51">
        <v>2017</v>
      </c>
      <c r="G92" s="58">
        <v>1910132</v>
      </c>
      <c r="H92" s="59">
        <v>1</v>
      </c>
    </row>
    <row r="93" spans="1:8">
      <c r="A93" s="27">
        <v>10</v>
      </c>
      <c r="B93" s="59" t="s">
        <v>299</v>
      </c>
      <c r="C93" s="176" t="s">
        <v>307</v>
      </c>
      <c r="D93" s="45" t="s">
        <v>308</v>
      </c>
      <c r="E93" s="50"/>
      <c r="F93" s="51">
        <v>2017</v>
      </c>
      <c r="G93" s="58">
        <v>1486696</v>
      </c>
      <c r="H93" s="28">
        <v>1</v>
      </c>
    </row>
    <row r="94" spans="1:8">
      <c r="A94" s="27">
        <v>11</v>
      </c>
      <c r="B94" s="28">
        <v>302</v>
      </c>
      <c r="C94" s="176" t="s">
        <v>309</v>
      </c>
      <c r="D94" s="45" t="s">
        <v>310</v>
      </c>
      <c r="E94" s="50"/>
      <c r="F94" s="51">
        <v>2016</v>
      </c>
      <c r="G94" s="58">
        <v>1179899</v>
      </c>
      <c r="H94" s="59">
        <v>1</v>
      </c>
    </row>
    <row r="95" spans="1:8">
      <c r="A95" s="96"/>
      <c r="B95" s="82"/>
      <c r="C95" s="184"/>
      <c r="D95" s="184"/>
      <c r="E95" s="184"/>
      <c r="F95" s="82"/>
      <c r="G95" s="98"/>
      <c r="H95" s="82"/>
    </row>
    <row r="98" spans="1:8" s="2" customFormat="1" ht="17.25">
      <c r="A98" s="22" t="s">
        <v>311</v>
      </c>
      <c r="B98" s="22"/>
      <c r="C98" s="36"/>
    </row>
    <row r="99" spans="1:8" s="2" customFormat="1" ht="33">
      <c r="A99" s="24" t="s">
        <v>127</v>
      </c>
      <c r="B99" s="25" t="s">
        <v>128</v>
      </c>
      <c r="C99" s="25" t="s">
        <v>129</v>
      </c>
      <c r="D99" s="25" t="s">
        <v>1</v>
      </c>
      <c r="E99" s="25" t="s">
        <v>130</v>
      </c>
      <c r="F99" s="25" t="s">
        <v>131</v>
      </c>
      <c r="G99" s="25" t="s">
        <v>132</v>
      </c>
      <c r="H99" s="25" t="s">
        <v>133</v>
      </c>
    </row>
    <row r="100" spans="1:8" ht="60" customHeight="1">
      <c r="A100" s="57">
        <v>2</v>
      </c>
      <c r="B100" s="33" t="s">
        <v>134</v>
      </c>
      <c r="C100" s="31" t="s">
        <v>312</v>
      </c>
      <c r="D100" s="31" t="s">
        <v>313</v>
      </c>
      <c r="E100" s="39" t="s">
        <v>314</v>
      </c>
      <c r="F100" s="33">
        <v>2020</v>
      </c>
      <c r="G100" s="33">
        <v>2292955</v>
      </c>
      <c r="H100" s="33" t="s">
        <v>138</v>
      </c>
    </row>
    <row r="101" spans="1:8" ht="60" customHeight="1">
      <c r="A101" s="57">
        <v>3</v>
      </c>
      <c r="B101" s="33" t="s">
        <v>134</v>
      </c>
      <c r="C101" s="31" t="s">
        <v>315</v>
      </c>
      <c r="D101" s="31" t="s">
        <v>316</v>
      </c>
      <c r="E101" s="39" t="s">
        <v>317</v>
      </c>
      <c r="F101" s="33">
        <v>2020</v>
      </c>
      <c r="G101" s="33">
        <v>2149100</v>
      </c>
      <c r="H101" s="33" t="s">
        <v>138</v>
      </c>
    </row>
    <row r="102" spans="1:8" ht="60" customHeight="1">
      <c r="A102" s="57">
        <v>4</v>
      </c>
      <c r="B102" s="33" t="s">
        <v>134</v>
      </c>
      <c r="C102" s="31" t="s">
        <v>318</v>
      </c>
      <c r="D102" s="31" t="s">
        <v>319</v>
      </c>
      <c r="E102" s="39" t="s">
        <v>320</v>
      </c>
      <c r="F102" s="33">
        <v>2020</v>
      </c>
      <c r="G102" s="33">
        <v>2318043</v>
      </c>
      <c r="H102" s="33" t="s">
        <v>138</v>
      </c>
    </row>
    <row r="103" spans="1:8" ht="60" customHeight="1">
      <c r="A103" s="57">
        <v>5</v>
      </c>
      <c r="B103" s="33" t="s">
        <v>134</v>
      </c>
      <c r="C103" s="31" t="s">
        <v>321</v>
      </c>
      <c r="D103" s="31" t="s">
        <v>322</v>
      </c>
      <c r="E103" s="39" t="s">
        <v>323</v>
      </c>
      <c r="F103" s="33">
        <v>2020</v>
      </c>
      <c r="G103" s="33">
        <v>2330266</v>
      </c>
      <c r="H103" s="33" t="s">
        <v>138</v>
      </c>
    </row>
    <row r="104" spans="1:8" ht="60" customHeight="1">
      <c r="A104" s="57">
        <v>5</v>
      </c>
      <c r="B104" s="33" t="s">
        <v>134</v>
      </c>
      <c r="C104" s="31" t="s">
        <v>312</v>
      </c>
      <c r="D104" s="31" t="s">
        <v>313</v>
      </c>
      <c r="E104" s="39" t="s">
        <v>324</v>
      </c>
      <c r="F104" s="33">
        <v>2020</v>
      </c>
      <c r="G104" s="33">
        <v>2292955</v>
      </c>
      <c r="H104" s="33" t="s">
        <v>138</v>
      </c>
    </row>
    <row r="105" spans="1:8" ht="60" customHeight="1">
      <c r="A105" s="57">
        <v>5</v>
      </c>
      <c r="B105" s="33" t="s">
        <v>134</v>
      </c>
      <c r="C105" s="31" t="s">
        <v>325</v>
      </c>
      <c r="D105" s="31" t="s">
        <v>326</v>
      </c>
      <c r="E105" s="39" t="s">
        <v>327</v>
      </c>
      <c r="F105" s="33">
        <v>2020</v>
      </c>
      <c r="G105" s="33">
        <v>2395899</v>
      </c>
      <c r="H105" s="33" t="s">
        <v>138</v>
      </c>
    </row>
    <row r="106" spans="1:8" ht="60" customHeight="1">
      <c r="A106" s="57">
        <v>5</v>
      </c>
      <c r="B106" s="33" t="s">
        <v>134</v>
      </c>
      <c r="C106" s="31" t="s">
        <v>321</v>
      </c>
      <c r="D106" s="31" t="s">
        <v>322</v>
      </c>
      <c r="E106" s="39" t="s">
        <v>328</v>
      </c>
      <c r="F106" s="33">
        <v>2020</v>
      </c>
      <c r="G106" s="33">
        <v>2330266</v>
      </c>
      <c r="H106" s="33" t="s">
        <v>138</v>
      </c>
    </row>
    <row r="107" spans="1:8" ht="30" customHeight="1">
      <c r="A107" s="48">
        <v>21</v>
      </c>
      <c r="B107" s="30"/>
      <c r="C107" s="49" t="s">
        <v>315</v>
      </c>
      <c r="D107" s="50" t="s">
        <v>316</v>
      </c>
      <c r="E107" s="39" t="s">
        <v>329</v>
      </c>
      <c r="F107" s="51">
        <v>2020</v>
      </c>
      <c r="G107" s="51">
        <v>2149100</v>
      </c>
      <c r="H107" s="51">
        <v>1</v>
      </c>
    </row>
    <row r="108" spans="1:8" ht="59.25" customHeight="1">
      <c r="A108" s="48">
        <v>25</v>
      </c>
      <c r="B108" s="30"/>
      <c r="C108" s="51" t="s">
        <v>312</v>
      </c>
      <c r="D108" s="50" t="s">
        <v>330</v>
      </c>
      <c r="E108" s="39" t="s">
        <v>331</v>
      </c>
      <c r="F108" s="51">
        <v>2020</v>
      </c>
      <c r="G108" s="51">
        <v>2292955</v>
      </c>
      <c r="H108" s="51">
        <v>1</v>
      </c>
    </row>
    <row r="109" spans="1:8" ht="33" customHeight="1">
      <c r="A109" s="48">
        <v>27</v>
      </c>
      <c r="B109" s="30"/>
      <c r="C109" s="53" t="s">
        <v>318</v>
      </c>
      <c r="D109" s="50" t="s">
        <v>319</v>
      </c>
      <c r="E109" s="39" t="s">
        <v>332</v>
      </c>
      <c r="F109" s="51">
        <v>2020</v>
      </c>
      <c r="G109" s="51">
        <v>2318043</v>
      </c>
      <c r="H109" s="51">
        <v>1</v>
      </c>
    </row>
    <row r="110" spans="1:8" ht="45">
      <c r="A110" s="57">
        <v>1</v>
      </c>
      <c r="B110" s="33" t="s">
        <v>333</v>
      </c>
      <c r="C110" s="31" t="s">
        <v>334</v>
      </c>
      <c r="D110" s="31" t="s">
        <v>335</v>
      </c>
      <c r="E110" s="30"/>
      <c r="F110" s="33">
        <v>2019</v>
      </c>
      <c r="G110" s="41" t="s">
        <v>336</v>
      </c>
      <c r="H110" s="33">
        <v>3</v>
      </c>
    </row>
    <row r="111" spans="1:8" ht="150">
      <c r="A111" s="48">
        <v>19</v>
      </c>
      <c r="B111" s="30" t="s">
        <v>337</v>
      </c>
      <c r="C111" s="48" t="s">
        <v>338</v>
      </c>
      <c r="D111" s="179" t="s">
        <v>339</v>
      </c>
      <c r="E111" s="179"/>
      <c r="F111" s="30">
        <v>2018</v>
      </c>
      <c r="G111" s="32" t="s">
        <v>340</v>
      </c>
      <c r="H111" s="30">
        <v>10</v>
      </c>
    </row>
    <row r="112" spans="1:8" ht="30">
      <c r="A112" s="48">
        <v>22</v>
      </c>
      <c r="B112" s="30">
        <v>959.90040599209999</v>
      </c>
      <c r="C112" s="51" t="s">
        <v>341</v>
      </c>
      <c r="D112" s="50" t="s">
        <v>342</v>
      </c>
      <c r="E112" s="50"/>
      <c r="F112" s="51">
        <v>2017</v>
      </c>
      <c r="G112" s="51">
        <v>1501131</v>
      </c>
      <c r="H112" s="51">
        <v>1</v>
      </c>
    </row>
    <row r="113" spans="1:8" ht="30">
      <c r="A113" s="48">
        <v>23</v>
      </c>
      <c r="B113" s="30" t="s">
        <v>343</v>
      </c>
      <c r="C113" s="51" t="s">
        <v>344</v>
      </c>
      <c r="D113" s="50" t="s">
        <v>345</v>
      </c>
      <c r="E113" s="50"/>
      <c r="F113" s="51">
        <v>2017</v>
      </c>
      <c r="G113" s="51">
        <v>1497348</v>
      </c>
      <c r="H113" s="51">
        <v>1</v>
      </c>
    </row>
    <row r="114" spans="1:8" ht="30">
      <c r="A114" s="48">
        <v>24</v>
      </c>
      <c r="B114" s="30" t="s">
        <v>346</v>
      </c>
      <c r="C114" s="51" t="s">
        <v>347</v>
      </c>
      <c r="D114" s="50" t="s">
        <v>348</v>
      </c>
      <c r="E114" s="50"/>
      <c r="F114" s="51">
        <v>2016</v>
      </c>
      <c r="G114" s="51">
        <v>1204832</v>
      </c>
      <c r="H114" s="51">
        <v>1</v>
      </c>
    </row>
    <row r="115" spans="1:8" ht="75">
      <c r="A115" s="48">
        <v>12</v>
      </c>
      <c r="B115" s="30" t="s">
        <v>349</v>
      </c>
      <c r="C115" s="30" t="s">
        <v>350</v>
      </c>
      <c r="D115" s="175" t="s">
        <v>351</v>
      </c>
      <c r="E115" s="175"/>
      <c r="F115" s="30">
        <v>2015</v>
      </c>
      <c r="G115" s="32" t="s">
        <v>352</v>
      </c>
      <c r="H115" s="30">
        <v>5</v>
      </c>
    </row>
    <row r="116" spans="1:8" ht="150">
      <c r="A116" s="48">
        <v>11</v>
      </c>
      <c r="B116" s="30" t="s">
        <v>353</v>
      </c>
      <c r="C116" s="30" t="s">
        <v>354</v>
      </c>
      <c r="D116" s="175" t="s">
        <v>355</v>
      </c>
      <c r="E116" s="175"/>
      <c r="F116" s="30">
        <v>2014</v>
      </c>
      <c r="G116" s="30" t="s">
        <v>356</v>
      </c>
      <c r="H116" s="30">
        <v>10</v>
      </c>
    </row>
    <row r="117" spans="1:8" ht="154.5" customHeight="1">
      <c r="A117" s="48">
        <v>18</v>
      </c>
      <c r="B117" s="30" t="s">
        <v>357</v>
      </c>
      <c r="C117" s="30" t="s">
        <v>194</v>
      </c>
      <c r="D117" s="175" t="s">
        <v>358</v>
      </c>
      <c r="E117" s="175"/>
      <c r="F117" s="30">
        <v>2012</v>
      </c>
      <c r="G117" s="32" t="s">
        <v>359</v>
      </c>
      <c r="H117" s="30">
        <v>10</v>
      </c>
    </row>
    <row r="118" spans="1:8" ht="75">
      <c r="A118" s="48">
        <v>16</v>
      </c>
      <c r="B118" s="30" t="s">
        <v>360</v>
      </c>
      <c r="C118" s="30" t="s">
        <v>194</v>
      </c>
      <c r="D118" s="175" t="s">
        <v>361</v>
      </c>
      <c r="E118" s="175"/>
      <c r="F118" s="30">
        <v>2008</v>
      </c>
      <c r="G118" s="32" t="s">
        <v>362</v>
      </c>
      <c r="H118" s="30">
        <v>5</v>
      </c>
    </row>
    <row r="119" spans="1:8" ht="75">
      <c r="A119" s="48">
        <v>17</v>
      </c>
      <c r="B119" s="30" t="s">
        <v>363</v>
      </c>
      <c r="C119" s="30" t="s">
        <v>194</v>
      </c>
      <c r="D119" s="175" t="s">
        <v>364</v>
      </c>
      <c r="E119" s="175"/>
      <c r="F119" s="30">
        <v>2008</v>
      </c>
      <c r="G119" s="32" t="s">
        <v>365</v>
      </c>
      <c r="H119" s="30">
        <v>5</v>
      </c>
    </row>
    <row r="120" spans="1:8" ht="30">
      <c r="A120" s="48">
        <v>15</v>
      </c>
      <c r="B120" s="30" t="s">
        <v>366</v>
      </c>
      <c r="C120" s="30" t="s">
        <v>367</v>
      </c>
      <c r="D120" s="175" t="s">
        <v>368</v>
      </c>
      <c r="E120" s="175"/>
      <c r="F120" s="30">
        <v>2007</v>
      </c>
      <c r="G120" s="32" t="s">
        <v>369</v>
      </c>
      <c r="H120" s="30">
        <v>1</v>
      </c>
    </row>
    <row r="121" spans="1:8" ht="60">
      <c r="A121" s="48">
        <v>13</v>
      </c>
      <c r="B121" s="30" t="s">
        <v>370</v>
      </c>
      <c r="C121" s="48" t="s">
        <v>371</v>
      </c>
      <c r="D121" s="179" t="s">
        <v>372</v>
      </c>
      <c r="E121" s="179"/>
      <c r="F121" s="30">
        <v>1999</v>
      </c>
      <c r="G121" s="32" t="s">
        <v>373</v>
      </c>
      <c r="H121" s="48">
        <v>4</v>
      </c>
    </row>
    <row r="122" spans="1:8" ht="75">
      <c r="A122" s="103">
        <v>9</v>
      </c>
      <c r="B122" s="185" t="s">
        <v>374</v>
      </c>
      <c r="C122" s="185" t="s">
        <v>375</v>
      </c>
      <c r="D122" s="186" t="s">
        <v>368</v>
      </c>
      <c r="E122" s="186"/>
      <c r="F122" s="185">
        <v>1987</v>
      </c>
      <c r="G122" s="185" t="s">
        <v>376</v>
      </c>
      <c r="H122" s="185">
        <v>5</v>
      </c>
    </row>
    <row r="123" spans="1:8" ht="45">
      <c r="A123" s="48">
        <v>14</v>
      </c>
      <c r="B123" s="30" t="s">
        <v>377</v>
      </c>
      <c r="C123" s="30" t="s">
        <v>378</v>
      </c>
      <c r="D123" s="175" t="s">
        <v>379</v>
      </c>
      <c r="E123" s="175"/>
      <c r="F123" s="30">
        <v>1986</v>
      </c>
      <c r="G123" s="32" t="s">
        <v>380</v>
      </c>
      <c r="H123" s="30">
        <v>3</v>
      </c>
    </row>
    <row r="124" spans="1:8" ht="165">
      <c r="A124" s="48">
        <v>20</v>
      </c>
      <c r="B124" s="30" t="s">
        <v>381</v>
      </c>
      <c r="C124" s="187" t="s">
        <v>382</v>
      </c>
      <c r="D124" s="179" t="s">
        <v>383</v>
      </c>
      <c r="E124" s="179"/>
      <c r="F124" s="48">
        <v>1976</v>
      </c>
      <c r="G124" s="32" t="s">
        <v>384</v>
      </c>
      <c r="H124" s="48">
        <v>10</v>
      </c>
    </row>
    <row r="125" spans="1:8" ht="120">
      <c r="A125" s="48">
        <v>10</v>
      </c>
      <c r="B125" s="30" t="s">
        <v>385</v>
      </c>
      <c r="C125" s="30" t="s">
        <v>386</v>
      </c>
      <c r="D125" s="175" t="s">
        <v>387</v>
      </c>
      <c r="E125" s="175"/>
      <c r="F125" s="30">
        <v>1975</v>
      </c>
      <c r="G125" s="30" t="s">
        <v>388</v>
      </c>
      <c r="H125" s="30">
        <v>8</v>
      </c>
    </row>
    <row r="126" spans="1:8">
      <c r="A126" s="96"/>
      <c r="B126" s="82"/>
      <c r="C126" s="188"/>
      <c r="D126" s="174"/>
      <c r="E126" s="174"/>
      <c r="F126" s="173"/>
      <c r="G126" s="173"/>
      <c r="H126" s="173"/>
    </row>
    <row r="127" spans="1:8">
      <c r="A127" s="96"/>
      <c r="B127" s="82"/>
      <c r="C127" s="188"/>
      <c r="D127" s="174"/>
      <c r="E127" s="174"/>
      <c r="F127" s="173"/>
      <c r="G127" s="173"/>
      <c r="H127" s="173"/>
    </row>
    <row r="129" spans="1:8" ht="15.75">
      <c r="A129" s="21" t="s">
        <v>389</v>
      </c>
      <c r="B129" s="21"/>
      <c r="C129" s="21"/>
      <c r="D129" s="21"/>
      <c r="E129" s="21"/>
    </row>
    <row r="130" spans="1:8" ht="25.5">
      <c r="A130" s="189" t="s">
        <v>127</v>
      </c>
      <c r="B130" s="190" t="s">
        <v>128</v>
      </c>
      <c r="C130" s="190" t="s">
        <v>129</v>
      </c>
      <c r="D130" s="190" t="s">
        <v>1</v>
      </c>
      <c r="E130" s="190"/>
      <c r="F130" s="191" t="s">
        <v>131</v>
      </c>
      <c r="G130" s="191" t="s">
        <v>132</v>
      </c>
      <c r="H130" s="191" t="s">
        <v>133</v>
      </c>
    </row>
    <row r="131" spans="1:8" ht="60" customHeight="1">
      <c r="A131" s="57">
        <v>1</v>
      </c>
      <c r="B131" s="33" t="s">
        <v>390</v>
      </c>
      <c r="C131" s="31" t="s">
        <v>391</v>
      </c>
      <c r="D131" s="31" t="s">
        <v>392</v>
      </c>
      <c r="E131" s="39"/>
      <c r="F131" s="33">
        <v>2019</v>
      </c>
      <c r="G131" s="33" t="s">
        <v>393</v>
      </c>
      <c r="H131" s="33">
        <v>1</v>
      </c>
    </row>
    <row r="132" spans="1:8" ht="60" customHeight="1">
      <c r="A132" s="57">
        <v>2</v>
      </c>
      <c r="B132" s="33" t="s">
        <v>134</v>
      </c>
      <c r="C132" s="31" t="s">
        <v>394</v>
      </c>
      <c r="D132" s="31" t="s">
        <v>395</v>
      </c>
      <c r="E132" s="39"/>
      <c r="F132" s="33">
        <v>2020</v>
      </c>
      <c r="G132" s="33">
        <v>2461001</v>
      </c>
      <c r="H132" s="33" t="s">
        <v>138</v>
      </c>
    </row>
    <row r="133" spans="1:8" ht="60">
      <c r="A133" s="103">
        <v>3</v>
      </c>
      <c r="B133" s="185" t="s">
        <v>396</v>
      </c>
      <c r="C133" s="192" t="s">
        <v>397</v>
      </c>
      <c r="D133" s="192" t="s">
        <v>398</v>
      </c>
      <c r="E133" s="192"/>
      <c r="F133" s="185">
        <v>2014</v>
      </c>
      <c r="G133" s="185" t="s">
        <v>399</v>
      </c>
      <c r="H133" s="103">
        <v>2</v>
      </c>
    </row>
    <row r="134" spans="1:8" ht="60">
      <c r="A134" s="103">
        <v>4</v>
      </c>
      <c r="B134" s="30" t="s">
        <v>400</v>
      </c>
      <c r="C134" s="193" t="s">
        <v>401</v>
      </c>
      <c r="D134" s="121" t="s">
        <v>402</v>
      </c>
      <c r="E134" s="121"/>
      <c r="F134" s="48">
        <v>2018</v>
      </c>
      <c r="G134" s="30" t="s">
        <v>403</v>
      </c>
      <c r="H134" s="48">
        <v>2</v>
      </c>
    </row>
    <row r="135" spans="1:8" ht="60">
      <c r="A135" s="48">
        <v>5</v>
      </c>
      <c r="B135" s="30" t="s">
        <v>390</v>
      </c>
      <c r="C135" s="56" t="s">
        <v>391</v>
      </c>
      <c r="D135" s="56" t="s">
        <v>392</v>
      </c>
      <c r="E135" s="56"/>
      <c r="F135" s="30">
        <v>2019</v>
      </c>
      <c r="G135" s="30" t="s">
        <v>393</v>
      </c>
      <c r="H135" s="30">
        <v>1</v>
      </c>
    </row>
    <row r="137" spans="1:8" ht="15.75">
      <c r="A137" s="169" t="s">
        <v>404</v>
      </c>
    </row>
    <row r="138" spans="1:8" ht="15.75">
      <c r="A138" s="169" t="s">
        <v>405</v>
      </c>
    </row>
    <row r="139" spans="1:8">
      <c r="A139" s="169"/>
    </row>
    <row r="140" spans="1:8">
      <c r="A140" s="169"/>
    </row>
    <row r="141" spans="1:8" ht="15.75">
      <c r="A141" s="313" t="s">
        <v>406</v>
      </c>
      <c r="B141" s="313"/>
      <c r="C141" s="313"/>
      <c r="D141" s="313"/>
      <c r="E141" s="313"/>
      <c r="F141" s="313"/>
    </row>
    <row r="142" spans="1:8" ht="25.5">
      <c r="A142" s="71" t="s">
        <v>127</v>
      </c>
      <c r="B142" s="67" t="s">
        <v>128</v>
      </c>
      <c r="C142" s="67" t="s">
        <v>129</v>
      </c>
      <c r="D142" s="67" t="s">
        <v>1</v>
      </c>
      <c r="E142" s="67"/>
      <c r="F142" s="72" t="s">
        <v>131</v>
      </c>
      <c r="G142" s="72" t="s">
        <v>132</v>
      </c>
      <c r="H142" s="72" t="s">
        <v>133</v>
      </c>
    </row>
    <row r="143" spans="1:8" ht="30">
      <c r="A143" s="48">
        <v>1</v>
      </c>
      <c r="B143" s="30" t="s">
        <v>160</v>
      </c>
      <c r="C143" s="30" t="s">
        <v>407</v>
      </c>
      <c r="D143" s="30" t="s">
        <v>408</v>
      </c>
      <c r="E143" s="30"/>
      <c r="F143" s="30">
        <v>2017</v>
      </c>
      <c r="G143" s="30">
        <v>1627477</v>
      </c>
      <c r="H143" s="30">
        <v>1</v>
      </c>
    </row>
    <row r="144" spans="1:8" ht="30">
      <c r="A144" s="48">
        <v>2</v>
      </c>
      <c r="B144" s="30" t="s">
        <v>160</v>
      </c>
      <c r="C144" s="30" t="s">
        <v>409</v>
      </c>
      <c r="D144" s="30" t="s">
        <v>410</v>
      </c>
      <c r="E144" s="30"/>
      <c r="F144" s="30">
        <v>2016</v>
      </c>
      <c r="G144" s="30">
        <v>1406248</v>
      </c>
      <c r="H144" s="30">
        <v>1</v>
      </c>
    </row>
    <row r="145" spans="1:8" ht="30">
      <c r="A145" s="48">
        <v>3</v>
      </c>
      <c r="B145" s="30" t="s">
        <v>160</v>
      </c>
      <c r="C145" s="30" t="s">
        <v>411</v>
      </c>
      <c r="D145" s="30" t="s">
        <v>412</v>
      </c>
      <c r="E145" s="30"/>
      <c r="F145" s="30">
        <v>2012</v>
      </c>
      <c r="G145" s="30">
        <v>541156</v>
      </c>
      <c r="H145" s="30">
        <v>1</v>
      </c>
    </row>
    <row r="146" spans="1:8" ht="90">
      <c r="A146" s="48">
        <v>4</v>
      </c>
      <c r="B146" s="30" t="s">
        <v>413</v>
      </c>
      <c r="C146" s="175" t="s">
        <v>414</v>
      </c>
      <c r="D146" s="175" t="s">
        <v>415</v>
      </c>
      <c r="E146" s="175"/>
      <c r="F146" s="30">
        <v>1994</v>
      </c>
      <c r="G146" s="30" t="s">
        <v>416</v>
      </c>
      <c r="H146" s="30">
        <v>6</v>
      </c>
    </row>
    <row r="147" spans="1:8" ht="90">
      <c r="A147" s="48">
        <v>5</v>
      </c>
      <c r="B147" s="30" t="s">
        <v>417</v>
      </c>
      <c r="C147" s="175" t="s">
        <v>414</v>
      </c>
      <c r="D147" s="175" t="s">
        <v>418</v>
      </c>
      <c r="E147" s="175"/>
      <c r="F147" s="30">
        <v>1994</v>
      </c>
      <c r="G147" s="30" t="s">
        <v>419</v>
      </c>
      <c r="H147" s="30">
        <v>6</v>
      </c>
    </row>
    <row r="148" spans="1:8" ht="60">
      <c r="A148" s="48">
        <v>6</v>
      </c>
      <c r="B148" s="30" t="s">
        <v>420</v>
      </c>
      <c r="C148" s="175" t="s">
        <v>421</v>
      </c>
      <c r="D148" s="175" t="s">
        <v>422</v>
      </c>
      <c r="E148" s="175"/>
      <c r="F148" s="30">
        <v>1994</v>
      </c>
      <c r="G148" s="30" t="s">
        <v>423</v>
      </c>
      <c r="H148" s="30">
        <v>2</v>
      </c>
    </row>
    <row r="149" spans="1:8" ht="75">
      <c r="A149" s="48">
        <v>7</v>
      </c>
      <c r="B149" s="30" t="s">
        <v>424</v>
      </c>
      <c r="C149" s="175" t="s">
        <v>421</v>
      </c>
      <c r="D149" s="175" t="s">
        <v>422</v>
      </c>
      <c r="E149" s="175"/>
      <c r="F149" s="30">
        <v>2002</v>
      </c>
      <c r="G149" s="30" t="s">
        <v>425</v>
      </c>
      <c r="H149" s="30">
        <v>5</v>
      </c>
    </row>
    <row r="150" spans="1:8" ht="60">
      <c r="A150" s="48">
        <v>8</v>
      </c>
      <c r="B150" s="30" t="s">
        <v>426</v>
      </c>
      <c r="C150" s="175" t="s">
        <v>427</v>
      </c>
      <c r="D150" s="175" t="s">
        <v>428</v>
      </c>
      <c r="E150" s="175"/>
      <c r="F150" s="30">
        <v>1999</v>
      </c>
      <c r="G150" s="30" t="s">
        <v>429</v>
      </c>
      <c r="H150" s="30">
        <v>3</v>
      </c>
    </row>
    <row r="151" spans="1:8" ht="180">
      <c r="A151" s="48">
        <v>9</v>
      </c>
      <c r="B151" s="30" t="s">
        <v>430</v>
      </c>
      <c r="C151" s="175" t="s">
        <v>431</v>
      </c>
      <c r="D151" s="175" t="s">
        <v>432</v>
      </c>
      <c r="E151" s="175"/>
      <c r="F151" s="30">
        <v>1995</v>
      </c>
      <c r="G151" s="30" t="s">
        <v>433</v>
      </c>
      <c r="H151" s="30">
        <v>12</v>
      </c>
    </row>
    <row r="152" spans="1:8" ht="60">
      <c r="A152" s="48">
        <v>10</v>
      </c>
      <c r="B152" s="30" t="s">
        <v>434</v>
      </c>
      <c r="C152" s="175" t="s">
        <v>431</v>
      </c>
      <c r="D152" s="175" t="s">
        <v>432</v>
      </c>
      <c r="E152" s="175"/>
      <c r="F152" s="30">
        <v>1995</v>
      </c>
      <c r="G152" s="30" t="s">
        <v>435</v>
      </c>
      <c r="H152" s="30">
        <v>3</v>
      </c>
    </row>
    <row r="153" spans="1:8" ht="75">
      <c r="A153" s="48">
        <v>11</v>
      </c>
      <c r="B153" s="30" t="s">
        <v>436</v>
      </c>
      <c r="C153" s="175" t="s">
        <v>437</v>
      </c>
      <c r="D153" s="175" t="s">
        <v>438</v>
      </c>
      <c r="E153" s="175"/>
      <c r="F153" s="30">
        <v>2003</v>
      </c>
      <c r="G153" s="30" t="s">
        <v>439</v>
      </c>
      <c r="H153" s="30">
        <v>5</v>
      </c>
    </row>
    <row r="154" spans="1:8">
      <c r="A154" s="194"/>
      <c r="B154" s="195"/>
      <c r="C154" s="195"/>
      <c r="D154" s="195"/>
      <c r="E154" s="195"/>
      <c r="F154" s="196"/>
      <c r="G154" s="196"/>
      <c r="H154" s="196">
        <f>SUM(H143:H153)</f>
        <v>45</v>
      </c>
    </row>
    <row r="155" spans="1:8" ht="15.75">
      <c r="A155" s="169" t="s">
        <v>440</v>
      </c>
      <c r="C155" s="195"/>
      <c r="D155" s="195"/>
      <c r="E155" s="195"/>
      <c r="F155" s="196"/>
      <c r="G155" s="196"/>
      <c r="H155" s="196"/>
    </row>
    <row r="156" spans="1:8" ht="15.75">
      <c r="A156" s="169" t="s">
        <v>441</v>
      </c>
      <c r="C156" s="195"/>
      <c r="D156" s="195"/>
      <c r="E156" s="195"/>
      <c r="F156" s="196"/>
      <c r="G156" s="196"/>
      <c r="H156" s="196"/>
    </row>
    <row r="157" spans="1:8">
      <c r="A157" s="169"/>
    </row>
    <row r="158" spans="1:8" ht="15.75">
      <c r="A158" s="168" t="s">
        <v>442</v>
      </c>
    </row>
    <row r="159" spans="1:8" ht="25.5">
      <c r="A159" s="71" t="s">
        <v>127</v>
      </c>
      <c r="B159" s="67" t="s">
        <v>128</v>
      </c>
      <c r="C159" s="67" t="s">
        <v>129</v>
      </c>
      <c r="D159" s="67" t="s">
        <v>1</v>
      </c>
      <c r="E159" s="67"/>
      <c r="F159" s="72" t="s">
        <v>131</v>
      </c>
      <c r="G159" s="72" t="s">
        <v>132</v>
      </c>
      <c r="H159" s="72" t="s">
        <v>133</v>
      </c>
    </row>
    <row r="160" spans="1:8" ht="60" customHeight="1">
      <c r="A160" s="57">
        <v>1</v>
      </c>
      <c r="B160" s="59">
        <v>355</v>
      </c>
      <c r="C160" s="45" t="s">
        <v>443</v>
      </c>
      <c r="D160" s="31" t="s">
        <v>444</v>
      </c>
      <c r="E160" s="39"/>
      <c r="F160" s="33">
        <v>2019</v>
      </c>
      <c r="G160" s="59">
        <v>2161245</v>
      </c>
      <c r="H160" s="33">
        <v>1</v>
      </c>
    </row>
    <row r="161" spans="1:8" ht="45">
      <c r="A161" s="58">
        <v>2</v>
      </c>
      <c r="B161" s="30" t="s">
        <v>445</v>
      </c>
      <c r="C161" s="30" t="s">
        <v>446</v>
      </c>
      <c r="D161" s="175" t="s">
        <v>447</v>
      </c>
      <c r="E161" s="175"/>
      <c r="F161" s="30">
        <v>2005</v>
      </c>
      <c r="G161" s="50" t="s">
        <v>448</v>
      </c>
      <c r="H161" s="30">
        <v>2</v>
      </c>
    </row>
    <row r="162" spans="1:8" ht="45">
      <c r="A162" s="58">
        <v>3</v>
      </c>
      <c r="B162" s="185" t="s">
        <v>449</v>
      </c>
      <c r="C162" s="185" t="s">
        <v>450</v>
      </c>
      <c r="D162" s="186" t="s">
        <v>451</v>
      </c>
      <c r="E162" s="186"/>
      <c r="F162" s="185">
        <v>2015</v>
      </c>
      <c r="G162" s="197" t="s">
        <v>452</v>
      </c>
      <c r="H162" s="185">
        <v>3</v>
      </c>
    </row>
    <row r="163" spans="1:8" ht="75">
      <c r="A163" s="58">
        <v>4</v>
      </c>
      <c r="B163" s="30" t="s">
        <v>453</v>
      </c>
      <c r="C163" s="30" t="s">
        <v>454</v>
      </c>
      <c r="D163" s="30" t="s">
        <v>455</v>
      </c>
      <c r="E163" s="30"/>
      <c r="F163" s="30">
        <v>2019</v>
      </c>
      <c r="G163" s="50" t="s">
        <v>456</v>
      </c>
      <c r="H163" s="48">
        <v>3</v>
      </c>
    </row>
    <row r="164" spans="1:8" ht="30">
      <c r="A164" s="58">
        <v>5</v>
      </c>
      <c r="B164" s="59">
        <v>796.80920000000003</v>
      </c>
      <c r="C164" s="49" t="s">
        <v>457</v>
      </c>
      <c r="D164" s="50" t="s">
        <v>458</v>
      </c>
      <c r="E164" s="50"/>
      <c r="F164" s="51" t="s">
        <v>459</v>
      </c>
      <c r="G164" s="51">
        <v>1241273</v>
      </c>
      <c r="H164" s="50">
        <v>1</v>
      </c>
    </row>
    <row r="165" spans="1:8">
      <c r="A165" s="58">
        <v>6</v>
      </c>
      <c r="B165" s="59"/>
      <c r="C165" s="49" t="s">
        <v>460</v>
      </c>
      <c r="D165" s="50" t="s">
        <v>461</v>
      </c>
      <c r="E165" s="50"/>
      <c r="F165" s="51">
        <v>2016</v>
      </c>
      <c r="G165" s="51">
        <v>1443833</v>
      </c>
      <c r="H165" s="50">
        <v>1</v>
      </c>
    </row>
    <row r="166" spans="1:8" ht="75">
      <c r="A166" s="58">
        <v>7</v>
      </c>
      <c r="B166" s="59" t="s">
        <v>134</v>
      </c>
      <c r="C166" s="49" t="s">
        <v>462</v>
      </c>
      <c r="D166" s="50" t="s">
        <v>463</v>
      </c>
      <c r="E166" s="39" t="s">
        <v>464</v>
      </c>
      <c r="F166" s="51" t="s">
        <v>465</v>
      </c>
      <c r="G166" s="51">
        <v>2091592</v>
      </c>
      <c r="H166" s="50">
        <v>1</v>
      </c>
    </row>
    <row r="167" spans="1:8">
      <c r="A167" s="169"/>
    </row>
    <row r="168" spans="1:8" ht="15.75">
      <c r="A168" s="169" t="s">
        <v>466</v>
      </c>
    </row>
    <row r="169" spans="1:8" ht="15.75">
      <c r="A169" s="169" t="s">
        <v>467</v>
      </c>
    </row>
    <row r="170" spans="1:8">
      <c r="A170" s="169"/>
    </row>
    <row r="171" spans="1:8">
      <c r="A171" s="169"/>
    </row>
    <row r="172" spans="1:8" ht="15.75">
      <c r="A172" s="21" t="s">
        <v>468</v>
      </c>
    </row>
    <row r="173" spans="1:8" ht="15.75">
      <c r="A173" s="21"/>
    </row>
    <row r="174" spans="1:8" ht="15.75">
      <c r="A174" s="21" t="s">
        <v>469</v>
      </c>
    </row>
    <row r="175" spans="1:8" ht="25.5">
      <c r="A175" s="71" t="s">
        <v>127</v>
      </c>
      <c r="B175" s="67" t="s">
        <v>128</v>
      </c>
      <c r="C175" s="67" t="s">
        <v>129</v>
      </c>
      <c r="D175" s="67" t="s">
        <v>1</v>
      </c>
      <c r="E175" s="67"/>
      <c r="F175" s="72" t="s">
        <v>131</v>
      </c>
      <c r="G175" s="72" t="s">
        <v>132</v>
      </c>
      <c r="H175" s="72" t="s">
        <v>133</v>
      </c>
    </row>
    <row r="176" spans="1:8" ht="60">
      <c r="A176" s="27">
        <v>3</v>
      </c>
      <c r="B176" s="33" t="s">
        <v>134</v>
      </c>
      <c r="C176" s="31" t="s">
        <v>470</v>
      </c>
      <c r="D176" s="31" t="s">
        <v>471</v>
      </c>
      <c r="E176" s="39" t="s">
        <v>472</v>
      </c>
      <c r="F176" s="33">
        <v>2022</v>
      </c>
      <c r="G176" s="33">
        <v>3153499</v>
      </c>
      <c r="H176" s="33" t="s">
        <v>138</v>
      </c>
    </row>
    <row r="177" spans="1:8" ht="62.25" customHeight="1">
      <c r="A177" s="27">
        <v>4</v>
      </c>
      <c r="B177" s="33" t="s">
        <v>134</v>
      </c>
      <c r="C177" s="31" t="s">
        <v>473</v>
      </c>
      <c r="D177" s="31" t="s">
        <v>474</v>
      </c>
      <c r="E177" s="39" t="s">
        <v>475</v>
      </c>
      <c r="F177" s="33">
        <v>2021</v>
      </c>
      <c r="G177" s="33">
        <v>2684865</v>
      </c>
      <c r="H177" s="33" t="s">
        <v>138</v>
      </c>
    </row>
    <row r="178" spans="1:8" ht="60" customHeight="1">
      <c r="A178" s="27">
        <v>5</v>
      </c>
      <c r="B178" s="33" t="s">
        <v>134</v>
      </c>
      <c r="C178" s="31" t="s">
        <v>476</v>
      </c>
      <c r="D178" s="31" t="s">
        <v>477</v>
      </c>
      <c r="E178" s="39" t="s">
        <v>478</v>
      </c>
      <c r="F178" s="33">
        <v>2021</v>
      </c>
      <c r="G178" s="33">
        <v>2899516</v>
      </c>
      <c r="H178" s="33" t="s">
        <v>138</v>
      </c>
    </row>
    <row r="179" spans="1:8" ht="60" customHeight="1">
      <c r="A179" s="27">
        <v>6</v>
      </c>
      <c r="B179" s="33" t="s">
        <v>134</v>
      </c>
      <c r="C179" s="31" t="s">
        <v>479</v>
      </c>
      <c r="D179" s="31" t="s">
        <v>480</v>
      </c>
      <c r="E179" s="39" t="s">
        <v>481</v>
      </c>
      <c r="F179" s="33">
        <v>2021</v>
      </c>
      <c r="G179" s="44">
        <v>3017775</v>
      </c>
      <c r="H179" s="33" t="s">
        <v>138</v>
      </c>
    </row>
    <row r="180" spans="1:8" ht="60" customHeight="1">
      <c r="A180" s="27">
        <v>1</v>
      </c>
      <c r="B180" s="28">
        <v>303.60000000000002</v>
      </c>
      <c r="C180" s="29" t="s">
        <v>482</v>
      </c>
      <c r="D180" s="29" t="s">
        <v>483</v>
      </c>
      <c r="E180" s="63" t="s">
        <v>484</v>
      </c>
      <c r="F180" s="28">
        <v>2019</v>
      </c>
      <c r="G180" s="28">
        <v>2228937</v>
      </c>
      <c r="H180" s="28">
        <v>1</v>
      </c>
    </row>
    <row r="181" spans="1:8" ht="60" customHeight="1">
      <c r="A181" s="27">
        <v>2</v>
      </c>
      <c r="B181" s="28" t="s">
        <v>485</v>
      </c>
      <c r="C181" s="29" t="s">
        <v>486</v>
      </c>
      <c r="D181" s="29" t="s">
        <v>487</v>
      </c>
      <c r="E181" s="62"/>
      <c r="F181" s="28">
        <v>2019</v>
      </c>
      <c r="G181" s="28" t="s">
        <v>488</v>
      </c>
      <c r="H181" s="28">
        <v>3</v>
      </c>
    </row>
    <row r="182" spans="1:8" ht="15.75">
      <c r="A182" s="169" t="s">
        <v>404</v>
      </c>
    </row>
    <row r="183" spans="1:8" ht="15.75">
      <c r="A183" s="169" t="s">
        <v>489</v>
      </c>
    </row>
    <row r="184" spans="1:8">
      <c r="A184" s="169"/>
    </row>
    <row r="185" spans="1:8" ht="15.75">
      <c r="A185" s="198" t="s">
        <v>490</v>
      </c>
      <c r="B185" s="198"/>
      <c r="C185" s="168"/>
      <c r="D185" s="177"/>
      <c r="E185" s="177"/>
      <c r="F185" s="198"/>
      <c r="G185" s="198"/>
      <c r="H185" s="177"/>
    </row>
    <row r="186" spans="1:8" ht="25.5">
      <c r="A186" s="71" t="s">
        <v>127</v>
      </c>
      <c r="B186" s="67" t="s">
        <v>128</v>
      </c>
      <c r="C186" s="67" t="s">
        <v>129</v>
      </c>
      <c r="D186" s="67" t="s">
        <v>1</v>
      </c>
      <c r="E186" s="67"/>
      <c r="F186" s="72" t="s">
        <v>131</v>
      </c>
      <c r="G186" s="72" t="s">
        <v>132</v>
      </c>
      <c r="H186" s="72" t="s">
        <v>133</v>
      </c>
    </row>
    <row r="187" spans="1:8" ht="59.25" customHeight="1">
      <c r="A187" s="27">
        <v>1</v>
      </c>
      <c r="B187" s="28" t="s">
        <v>134</v>
      </c>
      <c r="C187" s="29" t="s">
        <v>491</v>
      </c>
      <c r="D187" s="29" t="s">
        <v>492</v>
      </c>
      <c r="E187" s="63" t="s">
        <v>493</v>
      </c>
      <c r="F187" s="28">
        <v>2021</v>
      </c>
      <c r="G187" s="70">
        <v>3125072</v>
      </c>
      <c r="H187" s="28" t="s">
        <v>138</v>
      </c>
    </row>
    <row r="188" spans="1:8" ht="62.25" customHeight="1">
      <c r="A188" s="27">
        <v>2</v>
      </c>
      <c r="B188" s="28" t="s">
        <v>134</v>
      </c>
      <c r="C188" s="29" t="s">
        <v>494</v>
      </c>
      <c r="D188" s="29" t="s">
        <v>495</v>
      </c>
      <c r="E188" s="63" t="s">
        <v>496</v>
      </c>
      <c r="F188" s="28">
        <v>2021</v>
      </c>
      <c r="G188" s="44">
        <v>2700028</v>
      </c>
      <c r="H188" s="28" t="s">
        <v>138</v>
      </c>
    </row>
    <row r="189" spans="1:8" ht="62.25" customHeight="1">
      <c r="A189" s="27">
        <v>3</v>
      </c>
      <c r="B189" s="28" t="s">
        <v>134</v>
      </c>
      <c r="C189" s="29" t="s">
        <v>497</v>
      </c>
      <c r="D189" s="29" t="s">
        <v>498</v>
      </c>
      <c r="E189" s="63" t="s">
        <v>499</v>
      </c>
      <c r="F189" s="28">
        <v>2020</v>
      </c>
      <c r="G189" s="44">
        <v>2489371</v>
      </c>
      <c r="H189" s="28" t="s">
        <v>138</v>
      </c>
    </row>
    <row r="190" spans="1:8" ht="45">
      <c r="A190" s="48">
        <v>8</v>
      </c>
      <c r="B190" s="30" t="s">
        <v>500</v>
      </c>
      <c r="C190" s="30" t="s">
        <v>501</v>
      </c>
      <c r="D190" s="30" t="s">
        <v>502</v>
      </c>
      <c r="E190" s="30"/>
      <c r="F190" s="30">
        <v>2015</v>
      </c>
      <c r="G190" s="30" t="s">
        <v>503</v>
      </c>
      <c r="H190" s="30">
        <v>3</v>
      </c>
    </row>
    <row r="191" spans="1:8" ht="30">
      <c r="A191" s="48">
        <v>7</v>
      </c>
      <c r="B191" s="30" t="s">
        <v>504</v>
      </c>
      <c r="C191" s="30" t="s">
        <v>501</v>
      </c>
      <c r="D191" s="30" t="s">
        <v>502</v>
      </c>
      <c r="E191" s="30"/>
      <c r="F191" s="30">
        <v>2014</v>
      </c>
      <c r="G191" s="30" t="s">
        <v>505</v>
      </c>
      <c r="H191" s="30">
        <v>1</v>
      </c>
    </row>
    <row r="192" spans="1:8" ht="75">
      <c r="A192" s="48">
        <v>5</v>
      </c>
      <c r="B192" s="30" t="s">
        <v>506</v>
      </c>
      <c r="C192" s="175" t="s">
        <v>235</v>
      </c>
      <c r="D192" s="175" t="s">
        <v>507</v>
      </c>
      <c r="E192" s="175"/>
      <c r="F192" s="30">
        <v>2013</v>
      </c>
      <c r="G192" s="30" t="s">
        <v>508</v>
      </c>
      <c r="H192" s="30">
        <v>5</v>
      </c>
    </row>
    <row r="193" spans="1:8" ht="30">
      <c r="A193" s="48">
        <v>4</v>
      </c>
      <c r="B193" s="30" t="s">
        <v>509</v>
      </c>
      <c r="C193" s="30" t="s">
        <v>235</v>
      </c>
      <c r="D193" s="30" t="s">
        <v>507</v>
      </c>
      <c r="E193" s="30"/>
      <c r="F193" s="30">
        <v>2006</v>
      </c>
      <c r="G193" s="30" t="s">
        <v>510</v>
      </c>
      <c r="H193" s="30">
        <v>1</v>
      </c>
    </row>
    <row r="194" spans="1:8" ht="225">
      <c r="A194" s="48">
        <v>6</v>
      </c>
      <c r="B194" s="30" t="s">
        <v>511</v>
      </c>
      <c r="C194" s="48" t="s">
        <v>512</v>
      </c>
      <c r="D194" s="30" t="s">
        <v>513</v>
      </c>
      <c r="E194" s="30"/>
      <c r="F194" s="48">
        <v>1995</v>
      </c>
      <c r="G194" s="30" t="s">
        <v>514</v>
      </c>
      <c r="H194" s="48">
        <v>15</v>
      </c>
    </row>
    <row r="195" spans="1:8" ht="19.5" customHeight="1">
      <c r="A195" s="35"/>
      <c r="B195" s="34"/>
      <c r="C195" s="170"/>
      <c r="D195" s="68"/>
      <c r="E195" s="68"/>
      <c r="F195" s="34"/>
      <c r="G195" s="34"/>
      <c r="H195" s="68"/>
    </row>
    <row r="196" spans="1:8" ht="15.75">
      <c r="A196" s="169" t="s">
        <v>515</v>
      </c>
      <c r="C196" s="169"/>
      <c r="D196" s="169"/>
      <c r="E196" s="169"/>
      <c r="F196" s="169"/>
      <c r="G196" s="169"/>
      <c r="H196" s="169"/>
    </row>
    <row r="197" spans="1:8" ht="15.75">
      <c r="A197" s="169" t="s">
        <v>516</v>
      </c>
      <c r="C197" s="169"/>
      <c r="D197" s="169"/>
      <c r="E197" s="169"/>
      <c r="F197" s="169"/>
      <c r="G197" s="169"/>
      <c r="H197" s="169"/>
    </row>
    <row r="199" spans="1:8" ht="15.75">
      <c r="A199" s="198" t="s">
        <v>517</v>
      </c>
      <c r="B199" s="198"/>
      <c r="C199" s="168"/>
      <c r="D199" s="177"/>
      <c r="E199" s="177"/>
      <c r="F199" s="198"/>
      <c r="G199" s="198"/>
      <c r="H199" s="177"/>
    </row>
    <row r="200" spans="1:8" ht="25.5">
      <c r="A200" s="71" t="s">
        <v>127</v>
      </c>
      <c r="B200" s="67" t="s">
        <v>128</v>
      </c>
      <c r="C200" s="67" t="s">
        <v>129</v>
      </c>
      <c r="D200" s="67" t="s">
        <v>1</v>
      </c>
      <c r="E200" s="67"/>
      <c r="F200" s="72" t="s">
        <v>131</v>
      </c>
      <c r="G200" s="72" t="s">
        <v>132</v>
      </c>
      <c r="H200" s="72" t="s">
        <v>133</v>
      </c>
    </row>
    <row r="201" spans="1:8" ht="60">
      <c r="A201" s="48">
        <v>1</v>
      </c>
      <c r="B201" s="30" t="s">
        <v>518</v>
      </c>
      <c r="C201" s="29" t="s">
        <v>519</v>
      </c>
      <c r="D201" s="29" t="s">
        <v>520</v>
      </c>
      <c r="E201" s="30"/>
      <c r="F201" s="30">
        <v>2019</v>
      </c>
      <c r="G201" s="30" t="s">
        <v>521</v>
      </c>
      <c r="H201" s="30">
        <v>2</v>
      </c>
    </row>
    <row r="202" spans="1:8" ht="60">
      <c r="A202" s="48">
        <v>2</v>
      </c>
      <c r="B202" s="30" t="s">
        <v>522</v>
      </c>
      <c r="C202" s="29" t="s">
        <v>523</v>
      </c>
      <c r="D202" s="29" t="s">
        <v>524</v>
      </c>
      <c r="E202" s="30"/>
      <c r="F202" s="30">
        <v>2019</v>
      </c>
      <c r="G202" s="30" t="s">
        <v>525</v>
      </c>
      <c r="H202" s="30">
        <v>3</v>
      </c>
    </row>
    <row r="203" spans="1:8" ht="156" customHeight="1">
      <c r="A203" s="48">
        <v>3</v>
      </c>
      <c r="B203" s="30" t="s">
        <v>526</v>
      </c>
      <c r="C203" s="29" t="s">
        <v>527</v>
      </c>
      <c r="D203" s="29" t="s">
        <v>528</v>
      </c>
      <c r="E203" s="30"/>
      <c r="F203" s="30">
        <v>2018</v>
      </c>
      <c r="G203" s="30" t="s">
        <v>529</v>
      </c>
      <c r="H203" s="30">
        <v>10</v>
      </c>
    </row>
    <row r="204" spans="1:8" ht="60.75" customHeight="1">
      <c r="A204" s="48">
        <v>4</v>
      </c>
      <c r="B204" s="30" t="s">
        <v>530</v>
      </c>
      <c r="C204" s="30" t="s">
        <v>531</v>
      </c>
      <c r="D204" s="30" t="s">
        <v>532</v>
      </c>
      <c r="E204" s="30"/>
      <c r="F204" s="30">
        <v>2018</v>
      </c>
      <c r="G204" s="30" t="s">
        <v>533</v>
      </c>
      <c r="H204" s="30">
        <v>3</v>
      </c>
    </row>
    <row r="205" spans="1:8" ht="82.5" customHeight="1">
      <c r="A205" s="48">
        <v>5</v>
      </c>
      <c r="B205" s="30" t="s">
        <v>534</v>
      </c>
      <c r="C205" s="30" t="s">
        <v>535</v>
      </c>
      <c r="D205" s="30" t="s">
        <v>536</v>
      </c>
      <c r="E205" s="30"/>
      <c r="F205" s="30">
        <v>2015</v>
      </c>
      <c r="G205" s="30" t="s">
        <v>537</v>
      </c>
      <c r="H205" s="30">
        <v>5</v>
      </c>
    </row>
    <row r="206" spans="1:8" ht="78.75" customHeight="1">
      <c r="A206" s="48">
        <v>6</v>
      </c>
      <c r="B206" s="30" t="s">
        <v>538</v>
      </c>
      <c r="C206" s="29" t="s">
        <v>350</v>
      </c>
      <c r="D206" s="29" t="s">
        <v>539</v>
      </c>
      <c r="E206" s="30"/>
      <c r="F206" s="30">
        <v>2015</v>
      </c>
      <c r="G206" s="30" t="s">
        <v>540</v>
      </c>
      <c r="H206" s="30">
        <v>5</v>
      </c>
    </row>
    <row r="207" spans="1:8" ht="75" customHeight="1">
      <c r="A207" s="48">
        <v>7</v>
      </c>
      <c r="B207" s="30" t="s">
        <v>541</v>
      </c>
      <c r="C207" s="29" t="s">
        <v>531</v>
      </c>
      <c r="D207" s="29" t="s">
        <v>542</v>
      </c>
      <c r="E207" s="30"/>
      <c r="F207" s="30">
        <v>2014</v>
      </c>
      <c r="G207" s="30" t="s">
        <v>543</v>
      </c>
      <c r="H207" s="30">
        <v>5</v>
      </c>
    </row>
    <row r="208" spans="1:8" ht="81.75" customHeight="1">
      <c r="A208" s="48">
        <v>8</v>
      </c>
      <c r="B208" s="30" t="s">
        <v>544</v>
      </c>
      <c r="C208" s="29" t="s">
        <v>545</v>
      </c>
      <c r="D208" s="29" t="s">
        <v>546</v>
      </c>
      <c r="E208" s="30"/>
      <c r="F208" s="30">
        <v>2014</v>
      </c>
      <c r="G208" s="30" t="s">
        <v>547</v>
      </c>
      <c r="H208" s="30">
        <v>5</v>
      </c>
    </row>
    <row r="209" spans="1:8" ht="78.75" customHeight="1">
      <c r="A209" s="48">
        <v>9</v>
      </c>
      <c r="B209" s="30" t="s">
        <v>548</v>
      </c>
      <c r="C209" s="29" t="s">
        <v>549</v>
      </c>
      <c r="D209" s="29" t="s">
        <v>550</v>
      </c>
      <c r="E209" s="30"/>
      <c r="F209" s="30">
        <v>2014</v>
      </c>
      <c r="G209" s="30" t="s">
        <v>551</v>
      </c>
      <c r="H209" s="30">
        <v>5</v>
      </c>
    </row>
    <row r="210" spans="1:8" ht="78.75" customHeight="1">
      <c r="A210" s="48">
        <v>10</v>
      </c>
      <c r="B210" s="30" t="s">
        <v>552</v>
      </c>
      <c r="C210" s="29" t="s">
        <v>553</v>
      </c>
      <c r="D210" s="29" t="s">
        <v>554</v>
      </c>
      <c r="E210" s="30"/>
      <c r="F210" s="30">
        <v>2013</v>
      </c>
      <c r="G210" s="30" t="s">
        <v>555</v>
      </c>
      <c r="H210" s="30">
        <v>5</v>
      </c>
    </row>
    <row r="211" spans="1:8" ht="60">
      <c r="A211" s="48">
        <v>11</v>
      </c>
      <c r="B211" s="30" t="s">
        <v>556</v>
      </c>
      <c r="C211" s="29" t="s">
        <v>557</v>
      </c>
      <c r="D211" s="29" t="s">
        <v>558</v>
      </c>
      <c r="E211" s="30"/>
      <c r="F211" s="30">
        <v>2007</v>
      </c>
      <c r="G211" s="30" t="s">
        <v>559</v>
      </c>
      <c r="H211" s="30">
        <v>1</v>
      </c>
    </row>
    <row r="212" spans="1:8" ht="110.25" customHeight="1">
      <c r="A212" s="48">
        <v>12</v>
      </c>
      <c r="B212" s="30" t="s">
        <v>560</v>
      </c>
      <c r="C212" s="29" t="s">
        <v>561</v>
      </c>
      <c r="D212" s="29" t="s">
        <v>562</v>
      </c>
      <c r="E212" s="30"/>
      <c r="F212" s="30">
        <v>2004</v>
      </c>
      <c r="G212" s="30" t="s">
        <v>563</v>
      </c>
      <c r="H212" s="30">
        <v>7</v>
      </c>
    </row>
    <row r="213" spans="1:8" ht="84" customHeight="1">
      <c r="A213" s="48">
        <v>13</v>
      </c>
      <c r="B213" s="30" t="s">
        <v>564</v>
      </c>
      <c r="C213" s="29" t="s">
        <v>375</v>
      </c>
      <c r="D213" s="29" t="s">
        <v>565</v>
      </c>
      <c r="E213" s="30"/>
      <c r="F213" s="30">
        <v>2003</v>
      </c>
      <c r="G213" s="30" t="s">
        <v>566</v>
      </c>
      <c r="H213" s="30">
        <v>5</v>
      </c>
    </row>
    <row r="214" spans="1:8" ht="62.25" customHeight="1">
      <c r="A214" s="48">
        <v>14</v>
      </c>
      <c r="B214" s="30" t="s">
        <v>567</v>
      </c>
      <c r="C214" s="30" t="s">
        <v>568</v>
      </c>
      <c r="D214" s="30" t="s">
        <v>569</v>
      </c>
      <c r="E214" s="30"/>
      <c r="F214" s="30">
        <v>2000</v>
      </c>
      <c r="G214" s="30" t="s">
        <v>570</v>
      </c>
      <c r="H214" s="30">
        <v>3</v>
      </c>
    </row>
    <row r="215" spans="1:8" ht="64.5" customHeight="1">
      <c r="A215" s="48">
        <v>15</v>
      </c>
      <c r="B215" s="30" t="s">
        <v>571</v>
      </c>
      <c r="C215" s="30" t="s">
        <v>572</v>
      </c>
      <c r="D215" s="30" t="s">
        <v>573</v>
      </c>
      <c r="E215" s="30"/>
      <c r="F215" s="30">
        <v>1999</v>
      </c>
      <c r="G215" s="30" t="s">
        <v>574</v>
      </c>
      <c r="H215" s="30">
        <v>2</v>
      </c>
    </row>
    <row r="216" spans="1:8" ht="63.75" customHeight="1">
      <c r="A216" s="48">
        <v>16</v>
      </c>
      <c r="B216" s="30" t="s">
        <v>575</v>
      </c>
      <c r="C216" s="30" t="s">
        <v>576</v>
      </c>
      <c r="D216" s="30" t="s">
        <v>577</v>
      </c>
      <c r="E216" s="30"/>
      <c r="F216" s="30">
        <v>1992</v>
      </c>
      <c r="G216" s="30" t="s">
        <v>578</v>
      </c>
      <c r="H216" s="30">
        <v>1</v>
      </c>
    </row>
    <row r="217" spans="1:8" ht="225">
      <c r="A217" s="48">
        <v>17</v>
      </c>
      <c r="B217" s="30" t="s">
        <v>579</v>
      </c>
      <c r="C217" s="30" t="s">
        <v>375</v>
      </c>
      <c r="D217" s="30" t="s">
        <v>580</v>
      </c>
      <c r="E217" s="30"/>
      <c r="F217" s="30">
        <v>1992</v>
      </c>
      <c r="G217" s="30" t="s">
        <v>581</v>
      </c>
      <c r="H217" s="30">
        <v>15</v>
      </c>
    </row>
    <row r="218" spans="1:8" ht="67.5" customHeight="1">
      <c r="A218" s="48">
        <v>18</v>
      </c>
      <c r="B218" s="30" t="s">
        <v>582</v>
      </c>
      <c r="C218" s="30" t="s">
        <v>375</v>
      </c>
      <c r="D218" s="30" t="s">
        <v>583</v>
      </c>
      <c r="E218" s="30"/>
      <c r="F218" s="30">
        <v>1984</v>
      </c>
      <c r="G218" s="30" t="s">
        <v>584</v>
      </c>
      <c r="H218" s="30">
        <v>4</v>
      </c>
    </row>
    <row r="219" spans="1:8" ht="75">
      <c r="A219" s="48">
        <v>19</v>
      </c>
      <c r="B219" s="30" t="s">
        <v>585</v>
      </c>
      <c r="C219" s="30" t="s">
        <v>586</v>
      </c>
      <c r="D219" s="30" t="s">
        <v>587</v>
      </c>
      <c r="E219" s="30"/>
      <c r="F219" s="30">
        <v>1980</v>
      </c>
      <c r="G219" s="30" t="s">
        <v>588</v>
      </c>
      <c r="H219" s="30">
        <v>3</v>
      </c>
    </row>
    <row r="220" spans="1:8" ht="62.25" customHeight="1">
      <c r="A220" s="48">
        <v>20</v>
      </c>
      <c r="B220" s="30" t="s">
        <v>589</v>
      </c>
      <c r="C220" s="30" t="s">
        <v>590</v>
      </c>
      <c r="D220" s="30" t="s">
        <v>591</v>
      </c>
      <c r="E220" s="30"/>
      <c r="F220" s="30">
        <v>1978</v>
      </c>
      <c r="G220" s="30" t="s">
        <v>592</v>
      </c>
      <c r="H220" s="30">
        <v>3</v>
      </c>
    </row>
    <row r="221" spans="1:8">
      <c r="A221" s="35"/>
      <c r="B221" s="35"/>
      <c r="C221" s="199"/>
      <c r="D221" s="199"/>
      <c r="E221" s="199"/>
      <c r="F221" s="68"/>
      <c r="G221" s="34"/>
      <c r="H221" s="68"/>
    </row>
    <row r="222" spans="1:8" ht="15.75">
      <c r="A222" s="169" t="s">
        <v>593</v>
      </c>
      <c r="C222" s="169"/>
      <c r="D222" s="169"/>
      <c r="E222" s="169"/>
      <c r="F222" s="169"/>
      <c r="G222" s="169"/>
      <c r="H222" s="169"/>
    </row>
    <row r="223" spans="1:8" ht="15.75">
      <c r="A223" s="169" t="s">
        <v>594</v>
      </c>
      <c r="C223" s="169"/>
      <c r="D223" s="169"/>
      <c r="E223" s="169"/>
      <c r="F223" s="169"/>
      <c r="G223" s="169"/>
      <c r="H223" s="169"/>
    </row>
    <row r="225" spans="1:14" ht="15.75">
      <c r="A225" s="313" t="s">
        <v>595</v>
      </c>
      <c r="B225" s="313"/>
      <c r="C225" s="313"/>
      <c r="D225" s="313"/>
      <c r="E225" s="313"/>
      <c r="F225" s="313"/>
    </row>
    <row r="226" spans="1:14" ht="25.5">
      <c r="A226" s="71" t="s">
        <v>127</v>
      </c>
      <c r="B226" s="67" t="s">
        <v>128</v>
      </c>
      <c r="C226" s="67" t="s">
        <v>129</v>
      </c>
      <c r="D226" s="67" t="s">
        <v>1</v>
      </c>
      <c r="E226" s="67"/>
      <c r="F226" s="72" t="s">
        <v>131</v>
      </c>
      <c r="G226" s="72" t="s">
        <v>132</v>
      </c>
      <c r="H226" s="72" t="s">
        <v>133</v>
      </c>
    </row>
    <row r="227" spans="1:14" ht="59.25" customHeight="1">
      <c r="A227" s="27">
        <v>1</v>
      </c>
      <c r="B227" s="28" t="s">
        <v>134</v>
      </c>
      <c r="C227" s="29" t="s">
        <v>491</v>
      </c>
      <c r="D227" s="29" t="s">
        <v>492</v>
      </c>
      <c r="E227" s="63" t="s">
        <v>493</v>
      </c>
      <c r="F227" s="28">
        <v>2021</v>
      </c>
      <c r="G227" s="70">
        <v>3125072</v>
      </c>
      <c r="H227" s="28" t="s">
        <v>138</v>
      </c>
    </row>
    <row r="228" spans="1:14" ht="62.25" customHeight="1">
      <c r="A228" s="27">
        <v>2</v>
      </c>
      <c r="B228" s="28" t="s">
        <v>134</v>
      </c>
      <c r="C228" s="29" t="s">
        <v>494</v>
      </c>
      <c r="D228" s="29" t="s">
        <v>495</v>
      </c>
      <c r="E228" s="63" t="s">
        <v>496</v>
      </c>
      <c r="F228" s="28">
        <v>2021</v>
      </c>
      <c r="G228" s="44">
        <v>2700028</v>
      </c>
      <c r="H228" s="28" t="s">
        <v>138</v>
      </c>
    </row>
    <row r="229" spans="1:14" ht="15.75">
      <c r="A229" s="169" t="s">
        <v>596</v>
      </c>
      <c r="B229" s="82"/>
      <c r="C229" s="82"/>
      <c r="D229" s="82"/>
      <c r="E229" s="82"/>
      <c r="F229" s="82"/>
      <c r="G229" s="82"/>
      <c r="H229" s="96"/>
    </row>
    <row r="232" spans="1:14" ht="15.75">
      <c r="A232" s="21" t="s">
        <v>597</v>
      </c>
    </row>
    <row r="233" spans="1:14" ht="25.5">
      <c r="A233" s="71" t="s">
        <v>127</v>
      </c>
      <c r="B233" s="67" t="s">
        <v>128</v>
      </c>
      <c r="C233" s="67" t="s">
        <v>129</v>
      </c>
      <c r="D233" s="67" t="s">
        <v>1</v>
      </c>
      <c r="E233" s="67"/>
      <c r="F233" s="72" t="s">
        <v>131</v>
      </c>
      <c r="G233" s="72" t="s">
        <v>132</v>
      </c>
      <c r="H233" s="72" t="s">
        <v>133</v>
      </c>
    </row>
    <row r="234" spans="1:14">
      <c r="A234" s="71"/>
      <c r="B234" s="67"/>
      <c r="C234" s="67" t="s">
        <v>598</v>
      </c>
      <c r="D234" s="67" t="s">
        <v>599</v>
      </c>
      <c r="E234" s="67"/>
      <c r="F234" s="72">
        <v>2016</v>
      </c>
      <c r="G234" s="72">
        <v>1292506</v>
      </c>
      <c r="H234" s="72"/>
    </row>
    <row r="235" spans="1:14" ht="51" customHeight="1">
      <c r="A235" s="71"/>
      <c r="B235" s="67"/>
      <c r="C235" s="67" t="s">
        <v>600</v>
      </c>
      <c r="D235" s="67" t="s">
        <v>601</v>
      </c>
      <c r="E235" s="63" t="s">
        <v>602</v>
      </c>
      <c r="F235" s="72">
        <v>2020</v>
      </c>
      <c r="G235" s="72">
        <v>1103145</v>
      </c>
      <c r="H235" s="72"/>
    </row>
    <row r="236" spans="1:14" ht="50.25" customHeight="1">
      <c r="A236" s="71"/>
      <c r="B236" s="48" t="s">
        <v>134</v>
      </c>
      <c r="C236" s="67" t="s">
        <v>603</v>
      </c>
      <c r="D236" s="67" t="s">
        <v>604</v>
      </c>
      <c r="E236" s="63" t="s">
        <v>605</v>
      </c>
      <c r="F236" s="72">
        <v>2020</v>
      </c>
      <c r="G236" s="72">
        <v>1103144</v>
      </c>
      <c r="H236" s="72"/>
    </row>
    <row r="237" spans="1:14" ht="30.75">
      <c r="A237" s="48">
        <v>1</v>
      </c>
      <c r="B237" s="48" t="s">
        <v>134</v>
      </c>
      <c r="C237" s="48" t="s">
        <v>606</v>
      </c>
      <c r="D237" s="200" t="s">
        <v>607</v>
      </c>
      <c r="E237" s="200"/>
      <c r="F237" s="48">
        <v>2014</v>
      </c>
      <c r="G237" s="51">
        <v>754880</v>
      </c>
      <c r="H237" s="48">
        <v>1</v>
      </c>
    </row>
    <row r="238" spans="1:14" ht="30.75">
      <c r="A238" s="48">
        <v>2</v>
      </c>
      <c r="B238" s="48" t="s">
        <v>134</v>
      </c>
      <c r="C238" s="30" t="s">
        <v>608</v>
      </c>
      <c r="D238" s="200" t="s">
        <v>609</v>
      </c>
      <c r="E238" s="200"/>
      <c r="F238" s="48">
        <v>2012</v>
      </c>
      <c r="G238" s="48">
        <v>541136</v>
      </c>
      <c r="H238" s="48">
        <v>1</v>
      </c>
    </row>
    <row r="239" spans="1:14">
      <c r="C239" s="6"/>
      <c r="D239" s="6"/>
      <c r="E239" s="6"/>
    </row>
    <row r="240" spans="1:14" ht="15.75">
      <c r="A240" s="169" t="s">
        <v>610</v>
      </c>
      <c r="C240" s="6"/>
      <c r="D240" s="6"/>
      <c r="E240" s="6"/>
      <c r="N240" s="203"/>
    </row>
    <row r="241" spans="1:8" ht="15.75">
      <c r="A241" s="169" t="s">
        <v>611</v>
      </c>
      <c r="C241" s="6"/>
      <c r="D241" s="6"/>
      <c r="E241" s="6"/>
    </row>
    <row r="242" spans="1:8">
      <c r="C242" s="6"/>
      <c r="D242" s="6"/>
      <c r="E242" s="6"/>
    </row>
    <row r="244" spans="1:8" ht="15.75">
      <c r="A244" s="21" t="s">
        <v>612</v>
      </c>
    </row>
    <row r="245" spans="1:8" ht="25.5">
      <c r="A245" s="71" t="s">
        <v>127</v>
      </c>
      <c r="B245" s="67" t="s">
        <v>128</v>
      </c>
      <c r="C245" s="67" t="s">
        <v>129</v>
      </c>
      <c r="D245" s="67" t="s">
        <v>1</v>
      </c>
      <c r="E245" s="67"/>
      <c r="F245" s="72" t="s">
        <v>131</v>
      </c>
      <c r="G245" s="72" t="s">
        <v>132</v>
      </c>
      <c r="H245" s="72" t="s">
        <v>133</v>
      </c>
    </row>
    <row r="246" spans="1:8" ht="90">
      <c r="A246" s="71"/>
      <c r="B246" s="67"/>
      <c r="C246" s="67" t="s">
        <v>613</v>
      </c>
      <c r="D246" s="67" t="s">
        <v>614</v>
      </c>
      <c r="E246" s="63" t="s">
        <v>615</v>
      </c>
      <c r="F246" s="72">
        <v>2020</v>
      </c>
      <c r="G246" s="72">
        <v>2727840</v>
      </c>
      <c r="H246" s="72"/>
    </row>
    <row r="247" spans="1:8" ht="60">
      <c r="A247" s="71"/>
      <c r="B247" s="67"/>
      <c r="C247" s="67" t="s">
        <v>616</v>
      </c>
      <c r="D247" s="67" t="s">
        <v>617</v>
      </c>
      <c r="E247" s="63" t="s">
        <v>618</v>
      </c>
      <c r="F247" s="72">
        <v>2016</v>
      </c>
      <c r="G247" s="72">
        <v>1365776</v>
      </c>
      <c r="H247" s="72"/>
    </row>
    <row r="248" spans="1:8">
      <c r="A248" s="48">
        <v>1</v>
      </c>
      <c r="B248" s="48" t="s">
        <v>134</v>
      </c>
      <c r="C248" s="201" t="s">
        <v>616</v>
      </c>
      <c r="D248" s="202" t="s">
        <v>619</v>
      </c>
      <c r="E248" s="202"/>
      <c r="F248" s="48">
        <v>2016</v>
      </c>
      <c r="G248" s="48">
        <v>1365776</v>
      </c>
      <c r="H248" s="48">
        <v>1</v>
      </c>
    </row>
    <row r="249" spans="1:8" ht="30">
      <c r="A249" s="48">
        <v>2</v>
      </c>
      <c r="B249" s="48" t="s">
        <v>134</v>
      </c>
      <c r="C249" s="93" t="s">
        <v>620</v>
      </c>
      <c r="D249" s="32" t="s">
        <v>621</v>
      </c>
      <c r="E249" s="32"/>
      <c r="F249" s="48">
        <v>2017</v>
      </c>
      <c r="G249" s="48">
        <v>1934658</v>
      </c>
      <c r="H249" s="48">
        <v>1</v>
      </c>
    </row>
    <row r="250" spans="1:8" ht="30">
      <c r="A250" s="48">
        <v>3</v>
      </c>
      <c r="B250" s="48" t="s">
        <v>134</v>
      </c>
      <c r="C250" s="32" t="s">
        <v>622</v>
      </c>
      <c r="D250" s="32" t="s">
        <v>623</v>
      </c>
      <c r="E250" s="32"/>
      <c r="F250" s="48">
        <v>2014</v>
      </c>
      <c r="G250" s="48">
        <v>1286485</v>
      </c>
      <c r="H250" s="48">
        <v>1</v>
      </c>
    </row>
    <row r="251" spans="1:8">
      <c r="D251" s="6"/>
      <c r="E251" s="6"/>
    </row>
    <row r="252" spans="1:8" ht="15.75">
      <c r="A252" s="169" t="s">
        <v>624</v>
      </c>
      <c r="D252" s="6"/>
      <c r="E252" s="6"/>
    </row>
    <row r="253" spans="1:8" ht="15.75">
      <c r="A253" s="169" t="s">
        <v>625</v>
      </c>
      <c r="D253" s="6"/>
      <c r="E253" s="6"/>
    </row>
    <row r="254" spans="1:8">
      <c r="D254" s="6"/>
      <c r="E254" s="6"/>
    </row>
    <row r="255" spans="1:8">
      <c r="D255" s="6"/>
      <c r="E255" s="6"/>
    </row>
    <row r="256" spans="1:8" ht="15.75">
      <c r="A256" s="21" t="s">
        <v>626</v>
      </c>
    </row>
    <row r="257" spans="1:8" ht="25.5">
      <c r="A257" s="71" t="s">
        <v>127</v>
      </c>
      <c r="B257" s="67" t="s">
        <v>128</v>
      </c>
      <c r="C257" s="67" t="s">
        <v>129</v>
      </c>
      <c r="D257" s="67" t="s">
        <v>1</v>
      </c>
      <c r="E257" s="67"/>
      <c r="F257" s="72" t="s">
        <v>131</v>
      </c>
      <c r="G257" s="72" t="s">
        <v>132</v>
      </c>
      <c r="H257" s="72" t="s">
        <v>133</v>
      </c>
    </row>
    <row r="258" spans="1:8" ht="45.75" customHeight="1">
      <c r="A258" s="71"/>
      <c r="B258" s="48" t="s">
        <v>160</v>
      </c>
      <c r="C258" s="67" t="s">
        <v>627</v>
      </c>
      <c r="D258" s="67" t="s">
        <v>628</v>
      </c>
      <c r="E258" s="63" t="s">
        <v>629</v>
      </c>
      <c r="F258" s="72">
        <v>2020</v>
      </c>
      <c r="G258" s="72">
        <v>2395833</v>
      </c>
      <c r="H258" s="72"/>
    </row>
    <row r="259" spans="1:8" ht="45.75" customHeight="1">
      <c r="A259" s="48">
        <v>1</v>
      </c>
      <c r="B259" s="48" t="s">
        <v>160</v>
      </c>
      <c r="C259" s="179" t="s">
        <v>630</v>
      </c>
      <c r="D259" s="200" t="s">
        <v>631</v>
      </c>
      <c r="E259" s="200"/>
      <c r="F259" s="48">
        <v>2013</v>
      </c>
      <c r="G259" s="48">
        <v>608832</v>
      </c>
      <c r="H259" s="48">
        <v>1</v>
      </c>
    </row>
    <row r="260" spans="1:8" ht="15.75">
      <c r="A260" s="48">
        <v>2</v>
      </c>
      <c r="B260" s="48" t="s">
        <v>160</v>
      </c>
      <c r="C260" s="187" t="s">
        <v>632</v>
      </c>
      <c r="D260" s="200" t="s">
        <v>633</v>
      </c>
      <c r="E260" s="200"/>
      <c r="F260" s="48">
        <v>2018</v>
      </c>
      <c r="G260" s="48">
        <v>1934504</v>
      </c>
      <c r="H260" s="48">
        <v>1</v>
      </c>
    </row>
    <row r="261" spans="1:8" ht="19.5" customHeight="1">
      <c r="A261" s="48">
        <v>3</v>
      </c>
      <c r="B261" s="48" t="s">
        <v>160</v>
      </c>
      <c r="C261" s="179" t="s">
        <v>634</v>
      </c>
      <c r="D261" s="200" t="s">
        <v>635</v>
      </c>
      <c r="E261" s="81" t="s">
        <v>636</v>
      </c>
      <c r="F261" s="48">
        <v>2019</v>
      </c>
      <c r="G261" s="48">
        <v>2023974</v>
      </c>
      <c r="H261" s="48">
        <v>1</v>
      </c>
    </row>
    <row r="262" spans="1:8">
      <c r="A262" s="48">
        <v>4</v>
      </c>
      <c r="B262" s="48" t="s">
        <v>160</v>
      </c>
      <c r="C262" s="187" t="s">
        <v>637</v>
      </c>
      <c r="D262" s="204" t="s">
        <v>638</v>
      </c>
      <c r="E262" s="204"/>
      <c r="F262" s="48">
        <v>2018</v>
      </c>
      <c r="G262" s="48">
        <v>1934578</v>
      </c>
      <c r="H262" s="48">
        <v>1</v>
      </c>
    </row>
    <row r="263" spans="1:8" ht="30.75">
      <c r="A263" s="48">
        <v>5</v>
      </c>
      <c r="B263" s="48" t="s">
        <v>160</v>
      </c>
      <c r="C263" s="179" t="s">
        <v>639</v>
      </c>
      <c r="D263" s="200" t="s">
        <v>640</v>
      </c>
      <c r="E263" s="200"/>
      <c r="F263" s="48">
        <v>2013</v>
      </c>
      <c r="G263" s="48">
        <v>485143</v>
      </c>
      <c r="H263" s="48">
        <v>1</v>
      </c>
    </row>
    <row r="264" spans="1:8">
      <c r="D264" s="6"/>
      <c r="E264" s="6"/>
    </row>
    <row r="265" spans="1:8" ht="15.75">
      <c r="A265" s="169" t="s">
        <v>404</v>
      </c>
      <c r="D265" s="6"/>
      <c r="E265" s="6"/>
    </row>
    <row r="266" spans="1:8" ht="15.75">
      <c r="A266" s="169" t="s">
        <v>641</v>
      </c>
      <c r="D266" s="6"/>
      <c r="E266" s="6"/>
    </row>
    <row r="267" spans="1:8">
      <c r="D267" s="6"/>
      <c r="E267" s="6"/>
    </row>
    <row r="269" spans="1:8" ht="15.75">
      <c r="A269" s="21" t="s">
        <v>642</v>
      </c>
    </row>
    <row r="270" spans="1:8" ht="25.5">
      <c r="A270" s="189" t="s">
        <v>127</v>
      </c>
      <c r="B270" s="190" t="s">
        <v>128</v>
      </c>
      <c r="C270" s="190" t="s">
        <v>129</v>
      </c>
      <c r="D270" s="190" t="s">
        <v>1</v>
      </c>
      <c r="E270" s="190"/>
      <c r="F270" s="191" t="s">
        <v>131</v>
      </c>
      <c r="G270" s="191" t="s">
        <v>132</v>
      </c>
      <c r="H270" s="191" t="s">
        <v>133</v>
      </c>
    </row>
    <row r="271" spans="1:8" ht="84.75" customHeight="1">
      <c r="A271" s="48">
        <v>1</v>
      </c>
      <c r="B271" s="28" t="s">
        <v>643</v>
      </c>
      <c r="C271" s="175" t="s">
        <v>644</v>
      </c>
      <c r="D271" s="179" t="s">
        <v>645</v>
      </c>
      <c r="E271" s="179"/>
      <c r="F271" s="30">
        <v>2012</v>
      </c>
      <c r="G271" s="30" t="s">
        <v>646</v>
      </c>
      <c r="H271" s="30">
        <v>5</v>
      </c>
    </row>
    <row r="272" spans="1:8" ht="105">
      <c r="A272" s="48">
        <v>2</v>
      </c>
      <c r="B272" s="91" t="s">
        <v>647</v>
      </c>
      <c r="C272" s="186" t="s">
        <v>648</v>
      </c>
      <c r="D272" s="186" t="s">
        <v>645</v>
      </c>
      <c r="E272" s="186"/>
      <c r="F272" s="185">
        <v>2010</v>
      </c>
      <c r="G272" s="185" t="s">
        <v>649</v>
      </c>
      <c r="H272" s="185">
        <v>7</v>
      </c>
    </row>
    <row r="273" spans="1:8" ht="60">
      <c r="A273" s="48">
        <v>3</v>
      </c>
      <c r="B273" s="28" t="s">
        <v>650</v>
      </c>
      <c r="C273" s="175" t="s">
        <v>651</v>
      </c>
      <c r="D273" s="56" t="s">
        <v>652</v>
      </c>
      <c r="E273" s="56"/>
      <c r="F273" s="30">
        <v>2002</v>
      </c>
      <c r="G273" s="30" t="s">
        <v>653</v>
      </c>
      <c r="H273" s="30">
        <v>2</v>
      </c>
    </row>
    <row r="274" spans="1:8" ht="123" customHeight="1">
      <c r="A274" s="48">
        <v>4</v>
      </c>
      <c r="B274" s="28" t="s">
        <v>654</v>
      </c>
      <c r="C274" s="175" t="s">
        <v>655</v>
      </c>
      <c r="D274" s="56" t="s">
        <v>656</v>
      </c>
      <c r="E274" s="56"/>
      <c r="F274" s="30">
        <v>2004</v>
      </c>
      <c r="G274" s="30" t="s">
        <v>657</v>
      </c>
      <c r="H274" s="30">
        <v>10</v>
      </c>
    </row>
    <row r="275" spans="1:8">
      <c r="A275" s="48">
        <v>5</v>
      </c>
      <c r="B275" s="205" t="s">
        <v>160</v>
      </c>
      <c r="C275" s="206" t="s">
        <v>658</v>
      </c>
      <c r="D275" s="206" t="s">
        <v>659</v>
      </c>
      <c r="E275" s="206"/>
      <c r="F275" s="205">
        <v>2012</v>
      </c>
      <c r="G275" s="205">
        <v>483481</v>
      </c>
      <c r="H275" s="205">
        <v>1</v>
      </c>
    </row>
    <row r="276" spans="1:8" ht="30">
      <c r="A276" s="48">
        <v>6</v>
      </c>
      <c r="B276" s="30" t="s">
        <v>160</v>
      </c>
      <c r="C276" s="175" t="s">
        <v>660</v>
      </c>
      <c r="D276" s="175" t="s">
        <v>661</v>
      </c>
      <c r="E276" s="175"/>
      <c r="F276" s="30">
        <v>2015</v>
      </c>
      <c r="G276" s="30">
        <v>944460</v>
      </c>
      <c r="H276" s="30">
        <v>1</v>
      </c>
    </row>
    <row r="277" spans="1:8">
      <c r="A277" s="96"/>
      <c r="B277" s="68"/>
      <c r="C277" s="184"/>
      <c r="D277" s="184"/>
      <c r="E277" s="184"/>
      <c r="F277" s="82"/>
      <c r="G277" s="82"/>
      <c r="H277" s="82"/>
    </row>
    <row r="278" spans="1:8" ht="15.75">
      <c r="A278" s="169" t="s">
        <v>662</v>
      </c>
      <c r="B278" s="68"/>
      <c r="C278" s="184"/>
      <c r="D278" s="184"/>
      <c r="E278" s="184"/>
      <c r="F278" s="82"/>
      <c r="G278" s="82"/>
      <c r="H278" s="82"/>
    </row>
    <row r="279" spans="1:8" ht="15.75">
      <c r="A279" s="169" t="s">
        <v>663</v>
      </c>
      <c r="B279" s="68"/>
      <c r="C279" s="184"/>
      <c r="D279" s="184"/>
      <c r="E279" s="184"/>
      <c r="F279" s="82"/>
      <c r="G279" s="82"/>
      <c r="H279" s="82"/>
    </row>
    <row r="280" spans="1:8">
      <c r="A280" s="194"/>
      <c r="B280" s="195"/>
      <c r="C280" s="195"/>
      <c r="D280" s="195"/>
      <c r="E280" s="195"/>
      <c r="F280" s="196"/>
      <c r="G280" s="196"/>
      <c r="H280" s="196"/>
    </row>
    <row r="281" spans="1:8" ht="15.75">
      <c r="A281" s="21" t="s">
        <v>664</v>
      </c>
    </row>
    <row r="282" spans="1:8" ht="25.5">
      <c r="A282" s="71" t="s">
        <v>127</v>
      </c>
      <c r="B282" s="67" t="s">
        <v>128</v>
      </c>
      <c r="C282" s="67" t="s">
        <v>129</v>
      </c>
      <c r="D282" s="67" t="s">
        <v>1</v>
      </c>
      <c r="E282" s="67"/>
      <c r="F282" s="72" t="s">
        <v>131</v>
      </c>
      <c r="G282" s="72" t="s">
        <v>132</v>
      </c>
      <c r="H282" s="72" t="s">
        <v>133</v>
      </c>
    </row>
    <row r="283" spans="1:8" ht="90">
      <c r="A283" s="48">
        <v>1</v>
      </c>
      <c r="B283" s="30" t="s">
        <v>665</v>
      </c>
      <c r="C283" s="30" t="s">
        <v>666</v>
      </c>
      <c r="D283" s="30" t="s">
        <v>667</v>
      </c>
      <c r="E283" s="30"/>
      <c r="F283" s="30">
        <v>2005</v>
      </c>
      <c r="G283" s="30" t="s">
        <v>668</v>
      </c>
      <c r="H283" s="30">
        <v>5</v>
      </c>
    </row>
    <row r="284" spans="1:8" ht="90">
      <c r="A284" s="48">
        <v>2</v>
      </c>
      <c r="B284" s="30" t="s">
        <v>669</v>
      </c>
      <c r="C284" s="30" t="s">
        <v>666</v>
      </c>
      <c r="D284" s="30" t="s">
        <v>670</v>
      </c>
      <c r="E284" s="30"/>
      <c r="F284" s="30">
        <v>2005</v>
      </c>
      <c r="G284" s="30" t="s">
        <v>671</v>
      </c>
      <c r="H284" s="30">
        <v>5</v>
      </c>
    </row>
    <row r="285" spans="1:8" ht="75">
      <c r="A285" s="103">
        <v>3</v>
      </c>
      <c r="B285" s="185" t="s">
        <v>672</v>
      </c>
      <c r="C285" s="185" t="s">
        <v>673</v>
      </c>
      <c r="D285" s="185" t="s">
        <v>670</v>
      </c>
      <c r="E285" s="185"/>
      <c r="F285" s="185">
        <v>2015</v>
      </c>
      <c r="G285" s="185" t="s">
        <v>674</v>
      </c>
      <c r="H285" s="185">
        <v>3</v>
      </c>
    </row>
    <row r="286" spans="1:8" ht="75">
      <c r="A286" s="27">
        <v>4</v>
      </c>
      <c r="B286" s="30" t="s">
        <v>675</v>
      </c>
      <c r="C286" s="30" t="s">
        <v>676</v>
      </c>
      <c r="D286" s="30" t="s">
        <v>677</v>
      </c>
      <c r="E286" s="30"/>
      <c r="F286" s="30">
        <v>2019</v>
      </c>
      <c r="G286" s="30" t="s">
        <v>678</v>
      </c>
      <c r="H286" s="48">
        <v>2</v>
      </c>
    </row>
    <row r="287" spans="1:8" ht="45">
      <c r="A287" s="27">
        <v>5</v>
      </c>
      <c r="B287" s="30" t="s">
        <v>679</v>
      </c>
      <c r="C287" s="30" t="s">
        <v>680</v>
      </c>
      <c r="D287" s="30" t="s">
        <v>681</v>
      </c>
      <c r="E287" s="30"/>
      <c r="F287" s="30">
        <v>2017</v>
      </c>
      <c r="G287" s="30" t="s">
        <v>682</v>
      </c>
      <c r="H287" s="48">
        <v>3</v>
      </c>
    </row>
    <row r="288" spans="1:8">
      <c r="A288" s="35"/>
      <c r="B288" s="82"/>
      <c r="C288" s="82"/>
      <c r="D288" s="82"/>
      <c r="E288" s="82"/>
      <c r="F288" s="82"/>
      <c r="G288" s="82"/>
      <c r="H288" s="96"/>
    </row>
    <row r="289" spans="1:8" ht="15.75">
      <c r="A289" s="169" t="s">
        <v>404</v>
      </c>
      <c r="B289" s="169"/>
      <c r="D289" s="169"/>
      <c r="E289" s="169"/>
      <c r="F289" s="169"/>
      <c r="G289" s="169"/>
      <c r="H289" s="169"/>
    </row>
    <row r="290" spans="1:8" ht="15.75">
      <c r="A290" s="169" t="s">
        <v>683</v>
      </c>
      <c r="B290" s="169"/>
      <c r="D290" s="169"/>
      <c r="E290" s="169"/>
      <c r="F290" s="169"/>
      <c r="G290" s="169"/>
      <c r="H290" s="169"/>
    </row>
    <row r="291" spans="1:8">
      <c r="A291" s="194"/>
      <c r="B291" s="195"/>
      <c r="C291" s="195"/>
      <c r="D291" s="195"/>
      <c r="E291" s="195"/>
      <c r="F291" s="196"/>
      <c r="G291" s="196"/>
      <c r="H291" s="196"/>
    </row>
    <row r="292" spans="1:8" ht="15.75">
      <c r="A292" s="21" t="s">
        <v>684</v>
      </c>
      <c r="B292" s="83"/>
      <c r="C292" s="83"/>
    </row>
    <row r="294" spans="1:8" ht="15.75">
      <c r="A294" s="21" t="s">
        <v>685</v>
      </c>
    </row>
    <row r="295" spans="1:8" ht="25.5">
      <c r="A295" s="71" t="s">
        <v>127</v>
      </c>
      <c r="B295" s="67" t="s">
        <v>128</v>
      </c>
      <c r="C295" s="67" t="s">
        <v>129</v>
      </c>
      <c r="D295" s="67" t="s">
        <v>1</v>
      </c>
      <c r="E295" s="67"/>
      <c r="F295" s="72" t="s">
        <v>131</v>
      </c>
      <c r="G295" s="72" t="s">
        <v>132</v>
      </c>
      <c r="H295" s="72" t="s">
        <v>133</v>
      </c>
    </row>
    <row r="296" spans="1:8" ht="40.5" customHeight="1">
      <c r="A296" s="71"/>
      <c r="B296" s="67"/>
      <c r="C296" s="67" t="s">
        <v>686</v>
      </c>
      <c r="D296" s="67" t="s">
        <v>687</v>
      </c>
      <c r="E296" s="63" t="s">
        <v>688</v>
      </c>
      <c r="F296" s="72">
        <v>2023</v>
      </c>
      <c r="G296" s="72">
        <v>3592740</v>
      </c>
      <c r="H296" s="72"/>
    </row>
    <row r="297" spans="1:8" ht="40.5" customHeight="1">
      <c r="A297" s="71"/>
      <c r="B297" s="67"/>
      <c r="C297" s="67" t="s">
        <v>689</v>
      </c>
      <c r="D297" s="67" t="s">
        <v>690</v>
      </c>
      <c r="E297" s="63" t="s">
        <v>691</v>
      </c>
      <c r="F297" s="72">
        <v>2020</v>
      </c>
      <c r="G297" s="72">
        <v>2377603</v>
      </c>
      <c r="H297" s="72"/>
    </row>
    <row r="298" spans="1:8" ht="40.5" customHeight="1">
      <c r="A298" s="71"/>
      <c r="B298" s="67"/>
      <c r="C298" s="67" t="s">
        <v>692</v>
      </c>
      <c r="D298" s="67" t="s">
        <v>693</v>
      </c>
      <c r="E298" s="63" t="s">
        <v>694</v>
      </c>
      <c r="F298" s="72">
        <v>2021</v>
      </c>
      <c r="G298" s="72">
        <v>2655655</v>
      </c>
      <c r="H298" s="72"/>
    </row>
    <row r="299" spans="1:8" ht="15.75">
      <c r="A299" s="48">
        <v>1</v>
      </c>
      <c r="B299" s="48" t="s">
        <v>160</v>
      </c>
      <c r="C299" s="187" t="s">
        <v>695</v>
      </c>
      <c r="D299" s="200" t="s">
        <v>696</v>
      </c>
      <c r="E299" s="200"/>
      <c r="F299" s="48">
        <v>2016</v>
      </c>
      <c r="G299" s="48">
        <v>1074587</v>
      </c>
      <c r="H299" s="48">
        <v>1</v>
      </c>
    </row>
    <row r="300" spans="1:8" ht="15.75">
      <c r="A300" s="48">
        <v>2</v>
      </c>
      <c r="B300" s="48" t="s">
        <v>160</v>
      </c>
      <c r="C300" s="187" t="s">
        <v>697</v>
      </c>
      <c r="D300" s="200" t="s">
        <v>698</v>
      </c>
      <c r="E300" s="200"/>
      <c r="F300" s="48">
        <v>2012</v>
      </c>
      <c r="G300" s="48">
        <v>680506</v>
      </c>
      <c r="H300" s="48">
        <v>1</v>
      </c>
    </row>
    <row r="301" spans="1:8" ht="30.75">
      <c r="A301" s="48">
        <v>3</v>
      </c>
      <c r="B301" s="48" t="s">
        <v>160</v>
      </c>
      <c r="C301" s="187" t="s">
        <v>699</v>
      </c>
      <c r="D301" s="200" t="s">
        <v>700</v>
      </c>
      <c r="E301" s="200"/>
      <c r="F301" s="48">
        <v>2017</v>
      </c>
      <c r="G301" s="48">
        <v>1506496</v>
      </c>
      <c r="H301" s="48">
        <v>1</v>
      </c>
    </row>
    <row r="302" spans="1:8" ht="15.75">
      <c r="A302" s="48">
        <v>4</v>
      </c>
      <c r="B302" s="48" t="s">
        <v>160</v>
      </c>
      <c r="C302" s="179" t="s">
        <v>697</v>
      </c>
      <c r="D302" s="200" t="s">
        <v>698</v>
      </c>
      <c r="E302" s="200"/>
      <c r="F302" s="48">
        <v>2012</v>
      </c>
      <c r="G302" s="48">
        <v>680506</v>
      </c>
      <c r="H302" s="48">
        <v>1</v>
      </c>
    </row>
    <row r="303" spans="1:8" ht="30.75">
      <c r="A303" s="48">
        <v>5</v>
      </c>
      <c r="B303" s="48" t="s">
        <v>160</v>
      </c>
      <c r="C303" s="207" t="s">
        <v>620</v>
      </c>
      <c r="D303" s="200" t="s">
        <v>621</v>
      </c>
      <c r="E303" s="200"/>
      <c r="F303" s="48">
        <v>2017</v>
      </c>
      <c r="G303" s="48">
        <v>1934658</v>
      </c>
      <c r="H303" s="48">
        <v>1</v>
      </c>
    </row>
    <row r="304" spans="1:8">
      <c r="D304" s="6"/>
      <c r="E304" s="6"/>
    </row>
    <row r="305" spans="1:8" ht="15.75">
      <c r="A305" s="169" t="s">
        <v>404</v>
      </c>
      <c r="D305" s="6"/>
      <c r="E305" s="6"/>
    </row>
    <row r="306" spans="1:8" ht="15.75">
      <c r="A306" s="169" t="s">
        <v>701</v>
      </c>
      <c r="D306" s="6"/>
      <c r="E306" s="6"/>
    </row>
    <row r="307" spans="1:8">
      <c r="D307" s="6"/>
      <c r="E307" s="6"/>
    </row>
    <row r="308" spans="1:8" ht="15.75">
      <c r="A308" s="21" t="s">
        <v>702</v>
      </c>
    </row>
    <row r="309" spans="1:8" ht="25.5">
      <c r="A309" s="71" t="s">
        <v>127</v>
      </c>
      <c r="B309" s="67" t="s">
        <v>128</v>
      </c>
      <c r="C309" s="67" t="s">
        <v>129</v>
      </c>
      <c r="D309" s="67" t="s">
        <v>1</v>
      </c>
      <c r="E309" s="67"/>
      <c r="F309" s="72" t="s">
        <v>131</v>
      </c>
      <c r="G309" s="72" t="s">
        <v>132</v>
      </c>
      <c r="H309" s="72" t="s">
        <v>133</v>
      </c>
    </row>
    <row r="310" spans="1:8" ht="60">
      <c r="A310" s="71"/>
      <c r="B310" s="67"/>
      <c r="C310" s="67" t="s">
        <v>703</v>
      </c>
      <c r="D310" s="67" t="s">
        <v>704</v>
      </c>
      <c r="E310" s="63" t="s">
        <v>705</v>
      </c>
      <c r="F310" s="72">
        <v>2021</v>
      </c>
      <c r="G310" s="72">
        <v>2641847</v>
      </c>
      <c r="H310" s="72"/>
    </row>
    <row r="311" spans="1:8" ht="60">
      <c r="A311" s="71"/>
      <c r="B311" s="67"/>
      <c r="C311" s="67" t="s">
        <v>706</v>
      </c>
      <c r="D311" s="67" t="s">
        <v>707</v>
      </c>
      <c r="E311" s="63" t="s">
        <v>708</v>
      </c>
      <c r="F311" s="72">
        <v>2020</v>
      </c>
      <c r="G311" s="72">
        <v>2395808</v>
      </c>
      <c r="H311" s="72"/>
    </row>
    <row r="312" spans="1:8" ht="60">
      <c r="A312" s="71"/>
      <c r="B312" s="67"/>
      <c r="C312" s="67" t="s">
        <v>709</v>
      </c>
      <c r="D312" s="67" t="s">
        <v>710</v>
      </c>
      <c r="E312" s="63" t="s">
        <v>711</v>
      </c>
      <c r="F312" s="72">
        <v>2021</v>
      </c>
      <c r="G312" s="72">
        <v>1103437</v>
      </c>
      <c r="H312" s="72"/>
    </row>
    <row r="313" spans="1:8" ht="30.75">
      <c r="A313" s="48">
        <v>1</v>
      </c>
      <c r="B313" s="48" t="s">
        <v>160</v>
      </c>
      <c r="C313" s="93" t="s">
        <v>637</v>
      </c>
      <c r="D313" s="200" t="s">
        <v>712</v>
      </c>
      <c r="E313" s="200"/>
      <c r="F313" s="48">
        <v>2017</v>
      </c>
      <c r="G313" s="48">
        <v>1934527</v>
      </c>
      <c r="H313" s="48">
        <v>1</v>
      </c>
    </row>
    <row r="314" spans="1:8" ht="30.75">
      <c r="A314" s="48">
        <v>2</v>
      </c>
      <c r="B314" s="48" t="s">
        <v>160</v>
      </c>
      <c r="C314" s="32" t="s">
        <v>713</v>
      </c>
      <c r="D314" s="200" t="s">
        <v>714</v>
      </c>
      <c r="E314" s="200"/>
      <c r="F314" s="48">
        <v>2016</v>
      </c>
      <c r="G314" s="48">
        <v>1074614</v>
      </c>
      <c r="H314" s="48">
        <v>1</v>
      </c>
    </row>
    <row r="315" spans="1:8" ht="15.75">
      <c r="A315" s="48">
        <v>3</v>
      </c>
      <c r="B315" s="48" t="s">
        <v>160</v>
      </c>
      <c r="C315" s="32" t="s">
        <v>715</v>
      </c>
      <c r="D315" s="200" t="s">
        <v>716</v>
      </c>
      <c r="E315" s="200"/>
      <c r="F315" s="48">
        <v>2018</v>
      </c>
      <c r="G315" s="30">
        <v>1934528</v>
      </c>
      <c r="H315" s="48">
        <v>1</v>
      </c>
    </row>
    <row r="317" spans="1:8" ht="15.75">
      <c r="A317" s="169" t="s">
        <v>624</v>
      </c>
      <c r="C317" s="6"/>
      <c r="D317" s="6"/>
      <c r="E317" s="6"/>
    </row>
    <row r="318" spans="1:8" ht="15.75">
      <c r="A318" s="169" t="s">
        <v>717</v>
      </c>
      <c r="C318" s="6"/>
      <c r="D318" s="6"/>
      <c r="E318" s="6"/>
    </row>
    <row r="319" spans="1:8">
      <c r="C319" s="6"/>
      <c r="D319" s="6"/>
      <c r="E319" s="6"/>
    </row>
    <row r="320" spans="1:8">
      <c r="D320" s="6"/>
      <c r="E320" s="6"/>
    </row>
    <row r="321" spans="1:8" ht="15.75">
      <c r="A321" s="21" t="s">
        <v>718</v>
      </c>
    </row>
    <row r="322" spans="1:8" ht="25.5">
      <c r="A322" s="189" t="s">
        <v>127</v>
      </c>
      <c r="B322" s="190" t="s">
        <v>128</v>
      </c>
      <c r="C322" s="190" t="s">
        <v>129</v>
      </c>
      <c r="D322" s="190" t="s">
        <v>1</v>
      </c>
      <c r="E322" s="190"/>
      <c r="F322" s="191" t="s">
        <v>131</v>
      </c>
      <c r="G322" s="191" t="s">
        <v>132</v>
      </c>
      <c r="H322" s="191" t="s">
        <v>133</v>
      </c>
    </row>
    <row r="323" spans="1:8" ht="90">
      <c r="A323" s="189"/>
      <c r="B323" s="190"/>
      <c r="C323" s="190" t="s">
        <v>139</v>
      </c>
      <c r="D323" s="190" t="s">
        <v>140</v>
      </c>
      <c r="E323" s="116" t="s">
        <v>719</v>
      </c>
      <c r="F323" s="191">
        <v>2020</v>
      </c>
      <c r="G323" s="191">
        <v>2725246</v>
      </c>
      <c r="H323" s="191"/>
    </row>
    <row r="324" spans="1:8" ht="90">
      <c r="A324" s="189"/>
      <c r="B324" s="190"/>
      <c r="C324" s="190" t="s">
        <v>720</v>
      </c>
      <c r="D324" s="190" t="s">
        <v>721</v>
      </c>
      <c r="E324" s="116" t="s">
        <v>722</v>
      </c>
      <c r="F324" s="191">
        <v>2020</v>
      </c>
      <c r="G324" s="191">
        <v>2900592</v>
      </c>
      <c r="H324" s="191"/>
    </row>
    <row r="325" spans="1:8" ht="90">
      <c r="A325" s="189"/>
      <c r="B325" s="190"/>
      <c r="C325" s="190" t="s">
        <v>723</v>
      </c>
      <c r="D325" s="190" t="s">
        <v>724</v>
      </c>
      <c r="E325" s="116" t="s">
        <v>725</v>
      </c>
      <c r="F325" s="191">
        <v>2020</v>
      </c>
      <c r="G325" s="191">
        <v>2725237</v>
      </c>
      <c r="H325" s="191"/>
    </row>
    <row r="326" spans="1:8" ht="191.25">
      <c r="A326" s="208">
        <v>1</v>
      </c>
      <c r="B326" s="209" t="s">
        <v>726</v>
      </c>
      <c r="C326" s="186" t="s">
        <v>727</v>
      </c>
      <c r="D326" s="186" t="s">
        <v>728</v>
      </c>
      <c r="E326" s="186"/>
      <c r="F326" s="185">
        <v>2014</v>
      </c>
      <c r="G326" s="210" t="s">
        <v>729</v>
      </c>
      <c r="H326" s="185">
        <v>15</v>
      </c>
    </row>
    <row r="327" spans="1:8" ht="127.5">
      <c r="A327" s="208">
        <v>2</v>
      </c>
      <c r="B327" s="209" t="s">
        <v>730</v>
      </c>
      <c r="C327" s="186" t="s">
        <v>731</v>
      </c>
      <c r="D327" s="186" t="s">
        <v>732</v>
      </c>
      <c r="E327" s="186"/>
      <c r="F327" s="185">
        <v>2012</v>
      </c>
      <c r="G327" s="210" t="s">
        <v>733</v>
      </c>
      <c r="H327" s="185">
        <v>10</v>
      </c>
    </row>
    <row r="328" spans="1:8" ht="57">
      <c r="A328" s="208">
        <v>3</v>
      </c>
      <c r="B328" s="209" t="s">
        <v>734</v>
      </c>
      <c r="C328" s="186" t="s">
        <v>735</v>
      </c>
      <c r="D328" s="186" t="s">
        <v>736</v>
      </c>
      <c r="E328" s="186"/>
      <c r="F328" s="185">
        <v>2017</v>
      </c>
      <c r="G328" s="185" t="s">
        <v>737</v>
      </c>
      <c r="H328" s="185">
        <v>1</v>
      </c>
    </row>
    <row r="329" spans="1:8" ht="71.25" customHeight="1">
      <c r="A329" s="208">
        <v>4</v>
      </c>
      <c r="B329" s="211" t="s">
        <v>738</v>
      </c>
      <c r="C329" s="175" t="s">
        <v>739</v>
      </c>
      <c r="D329" s="175" t="s">
        <v>740</v>
      </c>
      <c r="E329" s="175"/>
      <c r="F329" s="30">
        <v>2015</v>
      </c>
      <c r="G329" s="30" t="s">
        <v>741</v>
      </c>
      <c r="H329" s="30">
        <v>1</v>
      </c>
    </row>
    <row r="330" spans="1:8" ht="57">
      <c r="A330" s="208">
        <v>5</v>
      </c>
      <c r="B330" s="209" t="s">
        <v>742</v>
      </c>
      <c r="C330" s="186" t="s">
        <v>743</v>
      </c>
      <c r="D330" s="186" t="s">
        <v>744</v>
      </c>
      <c r="E330" s="186"/>
      <c r="F330" s="185">
        <v>2015</v>
      </c>
      <c r="G330" s="185" t="s">
        <v>745</v>
      </c>
      <c r="H330" s="185">
        <v>1</v>
      </c>
    </row>
    <row r="331" spans="1:8" ht="75">
      <c r="A331" s="212">
        <v>6</v>
      </c>
      <c r="B331" s="211" t="s">
        <v>746</v>
      </c>
      <c r="C331" s="175" t="s">
        <v>747</v>
      </c>
      <c r="D331" s="175" t="s">
        <v>748</v>
      </c>
      <c r="E331" s="175"/>
      <c r="F331" s="30">
        <v>2012</v>
      </c>
      <c r="G331" s="30" t="s">
        <v>749</v>
      </c>
      <c r="H331" s="30">
        <v>5</v>
      </c>
    </row>
    <row r="332" spans="1:8">
      <c r="A332" s="194"/>
      <c r="B332" s="195"/>
      <c r="C332" s="199"/>
      <c r="D332" s="199"/>
      <c r="E332" s="199"/>
      <c r="F332" s="68"/>
      <c r="G332" s="196"/>
      <c r="H332" s="196"/>
    </row>
    <row r="333" spans="1:8" ht="15.75">
      <c r="A333" s="169" t="s">
        <v>662</v>
      </c>
      <c r="B333" s="195"/>
      <c r="C333" s="199"/>
      <c r="D333" s="199"/>
      <c r="E333" s="199"/>
      <c r="F333" s="68"/>
      <c r="G333" s="196"/>
      <c r="H333" s="196"/>
    </row>
    <row r="334" spans="1:8" ht="15.75">
      <c r="A334" s="169" t="s">
        <v>750</v>
      </c>
      <c r="B334" s="195"/>
      <c r="C334" s="199"/>
      <c r="D334" s="199"/>
      <c r="E334" s="199"/>
      <c r="F334" s="68"/>
      <c r="G334" s="196"/>
      <c r="H334" s="196"/>
    </row>
    <row r="335" spans="1:8">
      <c r="A335" s="194"/>
      <c r="B335" s="195"/>
      <c r="C335" s="199"/>
      <c r="D335" s="199"/>
      <c r="E335" s="199"/>
      <c r="F335" s="68"/>
      <c r="G335" s="196"/>
      <c r="H335" s="196"/>
    </row>
    <row r="337" spans="1:8" ht="15.75">
      <c r="A337" s="21" t="s">
        <v>751</v>
      </c>
    </row>
    <row r="338" spans="1:8" ht="25.5">
      <c r="A338" s="71" t="s">
        <v>127</v>
      </c>
      <c r="B338" s="67" t="s">
        <v>128</v>
      </c>
      <c r="C338" s="67" t="s">
        <v>129</v>
      </c>
      <c r="D338" s="67" t="s">
        <v>1</v>
      </c>
      <c r="E338" s="67"/>
      <c r="F338" s="72" t="s">
        <v>131</v>
      </c>
      <c r="G338" s="72" t="s">
        <v>132</v>
      </c>
      <c r="H338" s="72" t="s">
        <v>133</v>
      </c>
    </row>
    <row r="339" spans="1:8" ht="60">
      <c r="A339" s="71"/>
      <c r="B339" s="67"/>
      <c r="C339" s="67" t="s">
        <v>752</v>
      </c>
      <c r="D339" s="67" t="s">
        <v>753</v>
      </c>
      <c r="E339" s="63" t="s">
        <v>754</v>
      </c>
      <c r="F339" s="72">
        <v>2021</v>
      </c>
      <c r="G339" s="72">
        <v>2994409</v>
      </c>
      <c r="H339" s="72"/>
    </row>
    <row r="340" spans="1:8" ht="60">
      <c r="A340" s="71"/>
      <c r="B340" s="67"/>
      <c r="C340" s="67" t="s">
        <v>755</v>
      </c>
      <c r="D340" s="67" t="s">
        <v>756</v>
      </c>
      <c r="E340" s="63" t="s">
        <v>757</v>
      </c>
      <c r="F340" s="72">
        <v>2023</v>
      </c>
      <c r="G340" s="72">
        <v>3540468</v>
      </c>
      <c r="H340" s="72"/>
    </row>
    <row r="341" spans="1:8" ht="75">
      <c r="A341" s="71"/>
      <c r="B341" s="67"/>
      <c r="C341" s="67" t="s">
        <v>758</v>
      </c>
      <c r="D341" s="67" t="s">
        <v>759</v>
      </c>
      <c r="E341" s="63" t="s">
        <v>760</v>
      </c>
      <c r="F341" s="72">
        <v>2020</v>
      </c>
      <c r="G341" s="72">
        <v>2384619</v>
      </c>
      <c r="H341" s="72"/>
    </row>
    <row r="342" spans="1:8" ht="60">
      <c r="A342" s="48">
        <v>1</v>
      </c>
      <c r="B342" s="30" t="s">
        <v>761</v>
      </c>
      <c r="C342" s="175" t="s">
        <v>762</v>
      </c>
      <c r="D342" s="175" t="s">
        <v>763</v>
      </c>
      <c r="E342" s="175"/>
      <c r="F342" s="30">
        <v>2007</v>
      </c>
      <c r="G342" s="30" t="s">
        <v>764</v>
      </c>
      <c r="H342" s="30">
        <v>1</v>
      </c>
    </row>
    <row r="343" spans="1:8" ht="75">
      <c r="A343" s="48">
        <v>2</v>
      </c>
      <c r="B343" s="30" t="s">
        <v>765</v>
      </c>
      <c r="C343" s="175" t="s">
        <v>766</v>
      </c>
      <c r="D343" s="175" t="s">
        <v>54</v>
      </c>
      <c r="E343" s="175"/>
      <c r="F343" s="30">
        <v>1999</v>
      </c>
      <c r="G343" s="30" t="s">
        <v>767</v>
      </c>
      <c r="H343" s="48">
        <v>5</v>
      </c>
    </row>
    <row r="344" spans="1:8" ht="30">
      <c r="A344" s="48">
        <v>3</v>
      </c>
      <c r="B344" s="30" t="s">
        <v>768</v>
      </c>
      <c r="C344" s="213" t="s">
        <v>769</v>
      </c>
      <c r="D344" s="175" t="s">
        <v>770</v>
      </c>
      <c r="E344" s="175"/>
      <c r="F344" s="30">
        <v>2012</v>
      </c>
      <c r="G344" s="51">
        <v>457383</v>
      </c>
      <c r="H344" s="48">
        <v>1</v>
      </c>
    </row>
    <row r="345" spans="1:8" ht="30">
      <c r="A345" s="48">
        <v>4</v>
      </c>
      <c r="B345" s="30" t="s">
        <v>768</v>
      </c>
      <c r="C345" s="175" t="s">
        <v>771</v>
      </c>
      <c r="D345" s="175" t="s">
        <v>772</v>
      </c>
      <c r="E345" s="175"/>
      <c r="F345" s="30">
        <v>2013</v>
      </c>
      <c r="G345" s="30">
        <v>661727</v>
      </c>
      <c r="H345" s="48">
        <v>1</v>
      </c>
    </row>
    <row r="346" spans="1:8">
      <c r="A346" s="48">
        <v>5</v>
      </c>
      <c r="B346" s="30" t="s">
        <v>768</v>
      </c>
      <c r="C346" s="175" t="s">
        <v>773</v>
      </c>
      <c r="D346" s="175" t="s">
        <v>774</v>
      </c>
      <c r="E346" s="175"/>
      <c r="F346" s="30">
        <v>2015</v>
      </c>
      <c r="G346" s="30">
        <v>1614898</v>
      </c>
      <c r="H346" s="48">
        <v>1</v>
      </c>
    </row>
    <row r="347" spans="1:8" ht="30">
      <c r="A347" s="48">
        <v>6</v>
      </c>
      <c r="B347" s="30" t="s">
        <v>768</v>
      </c>
      <c r="C347" s="175" t="s">
        <v>775</v>
      </c>
      <c r="D347" s="175" t="s">
        <v>776</v>
      </c>
      <c r="E347" s="175"/>
      <c r="F347" s="30">
        <v>2018</v>
      </c>
      <c r="G347" s="30">
        <v>1659007</v>
      </c>
      <c r="H347" s="48">
        <v>1</v>
      </c>
    </row>
    <row r="348" spans="1:8">
      <c r="A348" s="48">
        <v>7</v>
      </c>
      <c r="B348" s="30" t="s">
        <v>768</v>
      </c>
      <c r="C348" s="175" t="s">
        <v>773</v>
      </c>
      <c r="D348" s="175" t="s">
        <v>777</v>
      </c>
      <c r="E348" s="175"/>
      <c r="F348" s="30">
        <v>2015</v>
      </c>
      <c r="G348" s="30">
        <v>1614895</v>
      </c>
      <c r="H348" s="48">
        <v>1</v>
      </c>
    </row>
    <row r="349" spans="1:8">
      <c r="B349" s="6"/>
      <c r="C349" s="199"/>
      <c r="D349" s="199"/>
      <c r="E349" s="199"/>
      <c r="F349" s="68"/>
      <c r="G349" s="6"/>
    </row>
    <row r="350" spans="1:8" ht="15.75">
      <c r="A350" s="169" t="s">
        <v>778</v>
      </c>
      <c r="B350" s="6"/>
      <c r="C350" s="199"/>
      <c r="D350" s="199"/>
      <c r="E350" s="199"/>
      <c r="F350" s="68"/>
      <c r="G350" s="6"/>
    </row>
    <row r="351" spans="1:8" ht="15.75">
      <c r="A351" s="169" t="s">
        <v>405</v>
      </c>
      <c r="D351" s="6"/>
      <c r="E351" s="6"/>
    </row>
    <row r="353" spans="1:8" ht="15.75">
      <c r="A353" s="21" t="s">
        <v>779</v>
      </c>
    </row>
    <row r="354" spans="1:8" ht="25.5">
      <c r="A354" s="71" t="s">
        <v>127</v>
      </c>
      <c r="B354" s="67" t="s">
        <v>128</v>
      </c>
      <c r="C354" s="67" t="s">
        <v>129</v>
      </c>
      <c r="D354" s="67" t="s">
        <v>1</v>
      </c>
      <c r="E354" s="67"/>
      <c r="F354" s="72" t="s">
        <v>131</v>
      </c>
      <c r="G354" s="72" t="s">
        <v>132</v>
      </c>
      <c r="H354" s="72" t="s">
        <v>133</v>
      </c>
    </row>
    <row r="355" spans="1:8" ht="60">
      <c r="A355" s="71"/>
      <c r="B355" s="67"/>
      <c r="C355" s="67" t="s">
        <v>780</v>
      </c>
      <c r="D355" s="67" t="s">
        <v>781</v>
      </c>
      <c r="E355" s="63" t="s">
        <v>782</v>
      </c>
      <c r="F355" s="72">
        <v>2022</v>
      </c>
      <c r="G355" s="72">
        <v>3293361</v>
      </c>
      <c r="H355" s="72"/>
    </row>
    <row r="356" spans="1:8" ht="15" customHeight="1">
      <c r="A356" s="48">
        <v>1</v>
      </c>
      <c r="B356" s="48" t="s">
        <v>160</v>
      </c>
      <c r="C356" s="93" t="s">
        <v>783</v>
      </c>
      <c r="D356" s="93" t="s">
        <v>784</v>
      </c>
      <c r="E356" s="214" t="s">
        <v>785</v>
      </c>
      <c r="F356" s="48">
        <v>2020</v>
      </c>
      <c r="G356" s="48">
        <v>2665207</v>
      </c>
      <c r="H356" s="48">
        <v>1</v>
      </c>
    </row>
    <row r="357" spans="1:8" ht="15" customHeight="1">
      <c r="A357" s="48"/>
      <c r="B357" s="48"/>
      <c r="C357" s="93" t="s">
        <v>780</v>
      </c>
      <c r="D357" s="93" t="s">
        <v>786</v>
      </c>
      <c r="E357" s="215" t="s">
        <v>787</v>
      </c>
      <c r="F357" s="48">
        <v>2022</v>
      </c>
      <c r="G357" s="48">
        <v>3317502</v>
      </c>
      <c r="H357" s="48"/>
    </row>
    <row r="358" spans="1:8" ht="45">
      <c r="A358" s="48">
        <v>2</v>
      </c>
      <c r="B358" s="48" t="s">
        <v>160</v>
      </c>
      <c r="C358" s="93" t="s">
        <v>788</v>
      </c>
      <c r="D358" s="32" t="s">
        <v>789</v>
      </c>
      <c r="E358" s="32"/>
      <c r="F358" s="48">
        <v>2012</v>
      </c>
      <c r="G358" s="48">
        <v>453957</v>
      </c>
      <c r="H358" s="48">
        <v>1</v>
      </c>
    </row>
    <row r="359" spans="1:8" ht="30">
      <c r="A359" s="48">
        <v>3</v>
      </c>
      <c r="B359" s="48" t="s">
        <v>160</v>
      </c>
      <c r="C359" s="32" t="s">
        <v>790</v>
      </c>
      <c r="D359" s="32" t="s">
        <v>791</v>
      </c>
      <c r="E359" s="32"/>
      <c r="F359" s="48">
        <v>2013</v>
      </c>
      <c r="G359" s="48">
        <v>637233</v>
      </c>
      <c r="H359" s="48">
        <v>1</v>
      </c>
    </row>
    <row r="361" spans="1:8" ht="15.75">
      <c r="A361" s="169" t="s">
        <v>624</v>
      </c>
    </row>
    <row r="362" spans="1:8" ht="15.75">
      <c r="A362" s="169" t="s">
        <v>625</v>
      </c>
    </row>
    <row r="364" spans="1:8" ht="15.75">
      <c r="A364" s="21" t="s">
        <v>792</v>
      </c>
    </row>
    <row r="365" spans="1:8" ht="25.5">
      <c r="A365" s="71" t="s">
        <v>127</v>
      </c>
      <c r="B365" s="67" t="s">
        <v>128</v>
      </c>
      <c r="C365" s="67" t="s">
        <v>129</v>
      </c>
      <c r="D365" s="67" t="s">
        <v>1</v>
      </c>
      <c r="E365" s="67"/>
      <c r="F365" s="72" t="s">
        <v>131</v>
      </c>
      <c r="G365" s="72" t="s">
        <v>132</v>
      </c>
      <c r="H365" s="72" t="s">
        <v>133</v>
      </c>
    </row>
    <row r="366" spans="1:8">
      <c r="A366" s="48">
        <v>1</v>
      </c>
      <c r="B366" s="48" t="s">
        <v>160</v>
      </c>
      <c r="C366" s="93" t="s">
        <v>793</v>
      </c>
      <c r="D366" s="93" t="s">
        <v>794</v>
      </c>
      <c r="E366" s="93"/>
      <c r="F366" s="48">
        <v>2018</v>
      </c>
      <c r="G366" s="48">
        <v>1934620</v>
      </c>
      <c r="H366" s="48">
        <v>1</v>
      </c>
    </row>
    <row r="367" spans="1:8" ht="30">
      <c r="A367" s="48">
        <v>2</v>
      </c>
      <c r="B367" s="48" t="s">
        <v>160</v>
      </c>
      <c r="C367" s="93" t="s">
        <v>795</v>
      </c>
      <c r="D367" s="32" t="s">
        <v>796</v>
      </c>
      <c r="E367" s="32"/>
      <c r="F367" s="48">
        <v>2012</v>
      </c>
      <c r="G367" s="48">
        <v>763608</v>
      </c>
      <c r="H367" s="48">
        <v>1</v>
      </c>
    </row>
    <row r="368" spans="1:8">
      <c r="D368" s="6"/>
      <c r="E368" s="6"/>
    </row>
    <row r="369" spans="1:8" ht="15.75">
      <c r="A369" s="169" t="s">
        <v>610</v>
      </c>
      <c r="D369" s="6"/>
      <c r="E369" s="6"/>
    </row>
    <row r="370" spans="1:8" ht="15.75">
      <c r="A370" s="169" t="s">
        <v>611</v>
      </c>
      <c r="D370" s="6"/>
      <c r="E370" s="6"/>
    </row>
    <row r="371" spans="1:8">
      <c r="D371" s="6"/>
      <c r="E371" s="6"/>
    </row>
    <row r="373" spans="1:8" ht="15.75">
      <c r="A373" s="21" t="s">
        <v>797</v>
      </c>
    </row>
    <row r="374" spans="1:8" ht="25.5">
      <c r="A374" s="71" t="s">
        <v>127</v>
      </c>
      <c r="B374" s="67" t="s">
        <v>128</v>
      </c>
      <c r="C374" s="67" t="s">
        <v>129</v>
      </c>
      <c r="D374" s="67" t="s">
        <v>1</v>
      </c>
      <c r="E374" s="67"/>
      <c r="F374" s="72" t="s">
        <v>131</v>
      </c>
      <c r="G374" s="72" t="s">
        <v>132</v>
      </c>
      <c r="H374" s="72" t="s">
        <v>133</v>
      </c>
    </row>
    <row r="375" spans="1:8" ht="75">
      <c r="A375" s="71"/>
      <c r="B375" s="67"/>
      <c r="C375" s="67" t="s">
        <v>798</v>
      </c>
      <c r="D375" s="67" t="s">
        <v>799</v>
      </c>
      <c r="E375" s="63" t="s">
        <v>800</v>
      </c>
      <c r="F375" s="72">
        <v>2020</v>
      </c>
      <c r="G375" s="72">
        <v>2390167</v>
      </c>
      <c r="H375" s="72"/>
    </row>
    <row r="376" spans="1:8" ht="75">
      <c r="A376" s="71"/>
      <c r="B376" s="67"/>
      <c r="C376" s="67" t="s">
        <v>801</v>
      </c>
      <c r="D376" s="67" t="s">
        <v>802</v>
      </c>
      <c r="E376" s="63" t="s">
        <v>803</v>
      </c>
      <c r="F376" s="72">
        <v>2020</v>
      </c>
      <c r="G376" s="72">
        <v>2512026</v>
      </c>
      <c r="H376" s="72"/>
    </row>
    <row r="377" spans="1:8" ht="90">
      <c r="A377" s="71"/>
      <c r="B377" s="67"/>
      <c r="C377" s="67" t="s">
        <v>804</v>
      </c>
      <c r="D377" s="67" t="s">
        <v>805</v>
      </c>
      <c r="E377" s="63" t="s">
        <v>806</v>
      </c>
      <c r="F377" s="72">
        <v>2020</v>
      </c>
      <c r="G377" s="72">
        <v>2527714</v>
      </c>
      <c r="H377" s="72"/>
    </row>
    <row r="378" spans="1:8" ht="71.25">
      <c r="A378" s="212">
        <v>1</v>
      </c>
      <c r="B378" s="211" t="s">
        <v>807</v>
      </c>
      <c r="C378" s="175" t="s">
        <v>808</v>
      </c>
      <c r="D378" s="175" t="s">
        <v>809</v>
      </c>
      <c r="E378" s="175"/>
      <c r="F378" s="30">
        <v>2003</v>
      </c>
      <c r="G378" s="211" t="s">
        <v>810</v>
      </c>
      <c r="H378" s="30">
        <v>1</v>
      </c>
    </row>
    <row r="379" spans="1:8" ht="57">
      <c r="A379" s="212">
        <v>2</v>
      </c>
      <c r="B379" s="211" t="s">
        <v>811</v>
      </c>
      <c r="C379" s="175" t="s">
        <v>808</v>
      </c>
      <c r="D379" s="175" t="s">
        <v>812</v>
      </c>
      <c r="E379" s="175"/>
      <c r="F379" s="30">
        <v>2005</v>
      </c>
      <c r="G379" s="211" t="s">
        <v>813</v>
      </c>
      <c r="H379" s="30">
        <v>1</v>
      </c>
    </row>
    <row r="380" spans="1:8" ht="57">
      <c r="A380" s="212">
        <v>3</v>
      </c>
      <c r="B380" s="211" t="s">
        <v>814</v>
      </c>
      <c r="C380" s="175" t="s">
        <v>808</v>
      </c>
      <c r="D380" s="175" t="s">
        <v>815</v>
      </c>
      <c r="E380" s="175"/>
      <c r="F380" s="30">
        <v>2004</v>
      </c>
      <c r="G380" s="211" t="s">
        <v>816</v>
      </c>
      <c r="H380" s="30">
        <v>1</v>
      </c>
    </row>
    <row r="381" spans="1:8" ht="57">
      <c r="A381" s="212">
        <v>4</v>
      </c>
      <c r="B381" s="211" t="s">
        <v>817</v>
      </c>
      <c r="C381" s="175" t="s">
        <v>808</v>
      </c>
      <c r="D381" s="175" t="s">
        <v>815</v>
      </c>
      <c r="E381" s="175"/>
      <c r="F381" s="30">
        <v>2006</v>
      </c>
      <c r="G381" s="211" t="s">
        <v>818</v>
      </c>
      <c r="H381" s="30">
        <v>2</v>
      </c>
    </row>
    <row r="382" spans="1:8" ht="71.25">
      <c r="A382" s="212">
        <v>5</v>
      </c>
      <c r="B382" s="211" t="s">
        <v>819</v>
      </c>
      <c r="C382" s="175" t="s">
        <v>820</v>
      </c>
      <c r="D382" s="175" t="s">
        <v>821</v>
      </c>
      <c r="E382" s="175"/>
      <c r="F382" s="30">
        <v>2015</v>
      </c>
      <c r="G382" s="211" t="s">
        <v>822</v>
      </c>
      <c r="H382" s="30">
        <v>5</v>
      </c>
    </row>
    <row r="383" spans="1:8" ht="57">
      <c r="A383" s="212">
        <v>6</v>
      </c>
      <c r="B383" s="211" t="s">
        <v>823</v>
      </c>
      <c r="C383" s="175" t="s">
        <v>824</v>
      </c>
      <c r="D383" s="175" t="s">
        <v>825</v>
      </c>
      <c r="E383" s="175"/>
      <c r="F383" s="30">
        <v>2000</v>
      </c>
      <c r="G383" s="211" t="s">
        <v>826</v>
      </c>
      <c r="H383" s="30">
        <v>1</v>
      </c>
    </row>
    <row r="384" spans="1:8" ht="71.25">
      <c r="A384" s="212">
        <v>7</v>
      </c>
      <c r="B384" s="211" t="s">
        <v>827</v>
      </c>
      <c r="C384" s="175" t="s">
        <v>828</v>
      </c>
      <c r="D384" s="175" t="s">
        <v>829</v>
      </c>
      <c r="E384" s="175"/>
      <c r="F384" s="30">
        <v>2010</v>
      </c>
      <c r="G384" s="211" t="s">
        <v>830</v>
      </c>
      <c r="H384" s="30">
        <v>5</v>
      </c>
    </row>
    <row r="385" spans="1:8" ht="57">
      <c r="A385" s="212">
        <v>8</v>
      </c>
      <c r="B385" s="211" t="s">
        <v>831</v>
      </c>
      <c r="C385" s="175" t="s">
        <v>832</v>
      </c>
      <c r="D385" s="175" t="s">
        <v>833</v>
      </c>
      <c r="E385" s="175"/>
      <c r="F385" s="30">
        <v>2006</v>
      </c>
      <c r="G385" s="211" t="s">
        <v>834</v>
      </c>
      <c r="H385" s="30">
        <v>2</v>
      </c>
    </row>
    <row r="386" spans="1:8" ht="71.25">
      <c r="A386" s="212">
        <v>9</v>
      </c>
      <c r="B386" s="211" t="s">
        <v>835</v>
      </c>
      <c r="C386" s="175" t="s">
        <v>832</v>
      </c>
      <c r="D386" s="175" t="s">
        <v>836</v>
      </c>
      <c r="E386" s="175"/>
      <c r="F386" s="30">
        <v>2013</v>
      </c>
      <c r="G386" s="211" t="s">
        <v>837</v>
      </c>
      <c r="H386" s="30">
        <v>5</v>
      </c>
    </row>
    <row r="387" spans="1:8" ht="114">
      <c r="A387" s="212">
        <v>10</v>
      </c>
      <c r="B387" s="211" t="s">
        <v>838</v>
      </c>
      <c r="C387" s="175" t="s">
        <v>839</v>
      </c>
      <c r="D387" s="175" t="s">
        <v>840</v>
      </c>
      <c r="E387" s="175"/>
      <c r="F387" s="30">
        <v>1996</v>
      </c>
      <c r="G387" s="211" t="s">
        <v>841</v>
      </c>
      <c r="H387" s="30">
        <v>12</v>
      </c>
    </row>
    <row r="388" spans="1:8" ht="409.5">
      <c r="A388" s="212">
        <v>11</v>
      </c>
      <c r="B388" s="211" t="s">
        <v>842</v>
      </c>
      <c r="C388" s="175" t="s">
        <v>843</v>
      </c>
      <c r="D388" s="175" t="s">
        <v>821</v>
      </c>
      <c r="E388" s="175"/>
      <c r="F388" s="30">
        <v>2004</v>
      </c>
      <c r="G388" s="211" t="s">
        <v>844</v>
      </c>
      <c r="H388" s="30">
        <v>35</v>
      </c>
    </row>
    <row r="389" spans="1:8" ht="57">
      <c r="A389" s="212">
        <v>12</v>
      </c>
      <c r="B389" s="211" t="s">
        <v>845</v>
      </c>
      <c r="C389" s="175" t="s">
        <v>846</v>
      </c>
      <c r="D389" s="175" t="s">
        <v>847</v>
      </c>
      <c r="E389" s="175"/>
      <c r="F389" s="30">
        <v>2002</v>
      </c>
      <c r="G389" s="211" t="s">
        <v>848</v>
      </c>
      <c r="H389" s="30">
        <v>1</v>
      </c>
    </row>
    <row r="390" spans="1:8">
      <c r="A390" s="194"/>
      <c r="B390" s="195"/>
      <c r="C390" s="195"/>
      <c r="D390" s="195"/>
      <c r="E390" s="195"/>
      <c r="F390" s="196"/>
      <c r="G390" s="196"/>
      <c r="H390" s="196"/>
    </row>
    <row r="391" spans="1:8" ht="15.75">
      <c r="A391" s="169" t="s">
        <v>849</v>
      </c>
      <c r="B391" s="195"/>
      <c r="C391" s="195"/>
      <c r="D391" s="195"/>
      <c r="E391" s="195"/>
      <c r="F391" s="196"/>
      <c r="G391" s="196"/>
      <c r="H391" s="196"/>
    </row>
    <row r="392" spans="1:8" ht="15.75">
      <c r="A392" s="169" t="s">
        <v>850</v>
      </c>
      <c r="B392" s="195"/>
      <c r="C392" s="195"/>
      <c r="D392" s="195"/>
      <c r="E392" s="195"/>
      <c r="F392" s="196"/>
      <c r="G392" s="196"/>
      <c r="H392" s="196"/>
    </row>
    <row r="393" spans="1:8">
      <c r="A393" s="194"/>
      <c r="B393" s="195"/>
      <c r="C393" s="195"/>
      <c r="D393" s="195"/>
      <c r="E393" s="195"/>
      <c r="F393" s="196"/>
      <c r="G393" s="196"/>
      <c r="H393" s="196"/>
    </row>
    <row r="395" spans="1:8" ht="15.75">
      <c r="A395" s="21" t="s">
        <v>851</v>
      </c>
    </row>
    <row r="396" spans="1:8" ht="25.5">
      <c r="A396" s="71" t="s">
        <v>127</v>
      </c>
      <c r="B396" s="67" t="s">
        <v>128</v>
      </c>
      <c r="C396" s="67" t="s">
        <v>129</v>
      </c>
      <c r="D396" s="67" t="s">
        <v>1</v>
      </c>
      <c r="E396" s="67"/>
      <c r="F396" s="72" t="s">
        <v>131</v>
      </c>
      <c r="G396" s="72" t="s">
        <v>132</v>
      </c>
      <c r="H396" s="72" t="s">
        <v>133</v>
      </c>
    </row>
    <row r="397" spans="1:8" ht="60">
      <c r="A397" s="71"/>
      <c r="B397" s="67"/>
      <c r="C397" s="67" t="s">
        <v>852</v>
      </c>
      <c r="D397" s="67" t="s">
        <v>853</v>
      </c>
      <c r="E397" s="63" t="s">
        <v>854</v>
      </c>
      <c r="F397" s="72">
        <v>2020</v>
      </c>
      <c r="G397" s="72">
        <v>2285514</v>
      </c>
      <c r="H397" s="72"/>
    </row>
    <row r="398" spans="1:8" ht="60">
      <c r="A398" s="71"/>
      <c r="B398" s="67"/>
      <c r="C398" s="67" t="s">
        <v>855</v>
      </c>
      <c r="D398" s="67" t="s">
        <v>856</v>
      </c>
      <c r="E398" s="63" t="s">
        <v>857</v>
      </c>
      <c r="F398" s="72">
        <v>2022</v>
      </c>
      <c r="G398" s="72">
        <v>3157780</v>
      </c>
      <c r="H398" s="72"/>
    </row>
    <row r="399" spans="1:8" ht="99.75">
      <c r="A399" s="216">
        <v>1</v>
      </c>
      <c r="B399" s="217" t="s">
        <v>858</v>
      </c>
      <c r="C399" s="175" t="s">
        <v>859</v>
      </c>
      <c r="D399" s="175" t="s">
        <v>860</v>
      </c>
      <c r="E399" s="175"/>
      <c r="F399" s="30">
        <v>2010</v>
      </c>
      <c r="G399" s="211" t="s">
        <v>861</v>
      </c>
      <c r="H399" s="30">
        <v>7</v>
      </c>
    </row>
    <row r="400" spans="1:8" ht="213.75">
      <c r="A400" s="216">
        <v>2</v>
      </c>
      <c r="B400" s="217" t="s">
        <v>862</v>
      </c>
      <c r="C400" s="175" t="s">
        <v>648</v>
      </c>
      <c r="D400" s="175" t="s">
        <v>863</v>
      </c>
      <c r="E400" s="175"/>
      <c r="F400" s="30">
        <v>2009</v>
      </c>
      <c r="G400" s="211" t="s">
        <v>864</v>
      </c>
      <c r="H400" s="30">
        <v>15</v>
      </c>
    </row>
    <row r="401" spans="1:8" ht="57">
      <c r="A401" s="216">
        <v>3</v>
      </c>
      <c r="B401" s="211" t="s">
        <v>865</v>
      </c>
      <c r="C401" s="175" t="s">
        <v>866</v>
      </c>
      <c r="D401" s="175" t="s">
        <v>867</v>
      </c>
      <c r="E401" s="175"/>
      <c r="F401" s="30">
        <v>2000</v>
      </c>
      <c r="G401" s="211" t="s">
        <v>868</v>
      </c>
      <c r="H401" s="30">
        <v>1</v>
      </c>
    </row>
    <row r="402" spans="1:8" ht="57">
      <c r="A402" s="216">
        <v>4</v>
      </c>
      <c r="B402" s="211" t="s">
        <v>869</v>
      </c>
      <c r="C402" s="175" t="s">
        <v>870</v>
      </c>
      <c r="D402" s="175" t="s">
        <v>871</v>
      </c>
      <c r="E402" s="175"/>
      <c r="F402" s="30">
        <v>2004</v>
      </c>
      <c r="G402" s="211" t="s">
        <v>872</v>
      </c>
      <c r="H402" s="30">
        <v>1</v>
      </c>
    </row>
    <row r="403" spans="1:8" ht="57">
      <c r="A403" s="216">
        <v>5</v>
      </c>
      <c r="B403" s="211" t="s">
        <v>873</v>
      </c>
      <c r="C403" s="175" t="s">
        <v>874</v>
      </c>
      <c r="D403" s="175" t="s">
        <v>875</v>
      </c>
      <c r="E403" s="175"/>
      <c r="F403" s="30">
        <v>1999</v>
      </c>
      <c r="G403" s="211" t="s">
        <v>876</v>
      </c>
      <c r="H403" s="30">
        <v>1</v>
      </c>
    </row>
    <row r="404" spans="1:8">
      <c r="A404" s="194"/>
      <c r="B404" s="195"/>
      <c r="C404" s="195"/>
      <c r="D404" s="195"/>
      <c r="E404" s="195"/>
      <c r="F404" s="196"/>
      <c r="G404" s="196"/>
      <c r="H404" s="196"/>
    </row>
    <row r="405" spans="1:8">
      <c r="A405" s="169"/>
    </row>
    <row r="406" spans="1:8">
      <c r="A406" s="169"/>
    </row>
    <row r="407" spans="1:8" ht="15.75">
      <c r="A407" s="21" t="s">
        <v>877</v>
      </c>
    </row>
    <row r="408" spans="1:8" ht="15.75">
      <c r="A408" s="21"/>
    </row>
    <row r="409" spans="1:8" ht="15.75">
      <c r="A409" s="21"/>
    </row>
    <row r="410" spans="1:8" ht="15.75">
      <c r="A410" s="21" t="s">
        <v>878</v>
      </c>
    </row>
    <row r="411" spans="1:8" ht="25.5">
      <c r="A411" s="189" t="s">
        <v>127</v>
      </c>
      <c r="B411" s="190" t="s">
        <v>128</v>
      </c>
      <c r="C411" s="190" t="s">
        <v>129</v>
      </c>
      <c r="D411" s="190" t="s">
        <v>1</v>
      </c>
      <c r="E411" s="190"/>
      <c r="F411" s="191" t="s">
        <v>131</v>
      </c>
      <c r="G411" s="191" t="s">
        <v>132</v>
      </c>
      <c r="H411" s="191" t="s">
        <v>133</v>
      </c>
    </row>
    <row r="412" spans="1:8" ht="60">
      <c r="A412" s="189"/>
      <c r="B412" s="190"/>
      <c r="C412" s="190" t="s">
        <v>879</v>
      </c>
      <c r="D412" s="190" t="s">
        <v>880</v>
      </c>
      <c r="E412" s="116" t="s">
        <v>881</v>
      </c>
      <c r="F412" s="191">
        <v>2021</v>
      </c>
      <c r="G412" s="196">
        <v>2755854</v>
      </c>
      <c r="H412" s="191"/>
    </row>
    <row r="413" spans="1:8" ht="60">
      <c r="A413" s="189"/>
      <c r="B413" s="190"/>
      <c r="C413" s="190" t="s">
        <v>882</v>
      </c>
      <c r="D413" s="190" t="s">
        <v>883</v>
      </c>
      <c r="E413" s="116" t="s">
        <v>884</v>
      </c>
      <c r="F413" s="191">
        <v>2023</v>
      </c>
      <c r="G413" s="70">
        <v>3508253</v>
      </c>
      <c r="H413" s="191"/>
    </row>
    <row r="414" spans="1:8" ht="60">
      <c r="A414" s="189"/>
      <c r="B414" s="190"/>
      <c r="C414" s="190" t="s">
        <v>885</v>
      </c>
      <c r="D414" s="190" t="s">
        <v>886</v>
      </c>
      <c r="E414" s="116" t="s">
        <v>887</v>
      </c>
      <c r="F414" s="191">
        <v>2023</v>
      </c>
      <c r="G414" s="191">
        <v>3580099</v>
      </c>
      <c r="H414" s="191"/>
    </row>
    <row r="415" spans="1:8" ht="75">
      <c r="A415" s="189"/>
      <c r="B415" s="190"/>
      <c r="C415" s="190" t="s">
        <v>888</v>
      </c>
      <c r="D415" s="190" t="s">
        <v>889</v>
      </c>
      <c r="E415" s="116" t="s">
        <v>890</v>
      </c>
      <c r="F415" s="191">
        <v>2020</v>
      </c>
      <c r="G415" s="191">
        <v>2324320</v>
      </c>
      <c r="H415" s="191"/>
    </row>
    <row r="416" spans="1:8" ht="60">
      <c r="A416" s="147">
        <v>1</v>
      </c>
      <c r="B416" s="30" t="s">
        <v>891</v>
      </c>
      <c r="C416" s="56" t="s">
        <v>762</v>
      </c>
      <c r="D416" s="56" t="s">
        <v>892</v>
      </c>
      <c r="E416" s="56"/>
      <c r="F416" s="30">
        <v>2007</v>
      </c>
      <c r="G416" s="30" t="s">
        <v>893</v>
      </c>
      <c r="H416" s="30">
        <v>1</v>
      </c>
    </row>
    <row r="417" spans="1:8" ht="60">
      <c r="A417" s="147">
        <v>2</v>
      </c>
      <c r="B417" s="30" t="s">
        <v>894</v>
      </c>
      <c r="C417" s="56" t="s">
        <v>895</v>
      </c>
      <c r="D417" s="56" t="s">
        <v>896</v>
      </c>
      <c r="E417" s="56"/>
      <c r="F417" s="30">
        <v>1998</v>
      </c>
      <c r="G417" s="30" t="s">
        <v>897</v>
      </c>
      <c r="H417" s="30">
        <v>2</v>
      </c>
    </row>
    <row r="418" spans="1:8" ht="60">
      <c r="A418" s="147">
        <v>3</v>
      </c>
      <c r="B418" s="30" t="s">
        <v>898</v>
      </c>
      <c r="C418" s="56"/>
      <c r="D418" s="56" t="s">
        <v>899</v>
      </c>
      <c r="E418" s="56"/>
      <c r="F418" s="30">
        <v>2009</v>
      </c>
      <c r="G418" s="30" t="s">
        <v>900</v>
      </c>
      <c r="H418" s="30">
        <v>3</v>
      </c>
    </row>
    <row r="419" spans="1:8" ht="60">
      <c r="A419" s="147">
        <v>4</v>
      </c>
      <c r="B419" s="30" t="s">
        <v>901</v>
      </c>
      <c r="C419" s="56"/>
      <c r="D419" s="56" t="s">
        <v>899</v>
      </c>
      <c r="E419" s="56"/>
      <c r="F419" s="30">
        <v>2014</v>
      </c>
      <c r="G419" s="30" t="s">
        <v>902</v>
      </c>
      <c r="H419" s="30">
        <v>3</v>
      </c>
    </row>
    <row r="420" spans="1:8" ht="60">
      <c r="A420" s="147">
        <v>5</v>
      </c>
      <c r="B420" s="30" t="s">
        <v>903</v>
      </c>
      <c r="C420" s="56" t="s">
        <v>904</v>
      </c>
      <c r="D420" s="56" t="s">
        <v>905</v>
      </c>
      <c r="E420" s="56"/>
      <c r="F420" s="30">
        <v>1983</v>
      </c>
      <c r="G420" s="30" t="s">
        <v>906</v>
      </c>
      <c r="H420" s="30">
        <v>4</v>
      </c>
    </row>
    <row r="421" spans="1:8" ht="60">
      <c r="A421" s="147">
        <v>6</v>
      </c>
      <c r="B421" s="30" t="s">
        <v>907</v>
      </c>
      <c r="C421" s="56" t="s">
        <v>908</v>
      </c>
      <c r="D421" s="56" t="s">
        <v>909</v>
      </c>
      <c r="E421" s="56"/>
      <c r="F421" s="30">
        <v>2011</v>
      </c>
      <c r="G421" s="30" t="s">
        <v>910</v>
      </c>
      <c r="H421" s="30">
        <v>2</v>
      </c>
    </row>
    <row r="422" spans="1:8" ht="84.75" customHeight="1">
      <c r="A422" s="147">
        <v>7</v>
      </c>
      <c r="B422" s="30" t="s">
        <v>911</v>
      </c>
      <c r="C422" s="56" t="s">
        <v>908</v>
      </c>
      <c r="D422" s="56" t="s">
        <v>912</v>
      </c>
      <c r="E422" s="56"/>
      <c r="F422" s="30">
        <v>2010</v>
      </c>
      <c r="G422" s="30" t="s">
        <v>913</v>
      </c>
      <c r="H422" s="30">
        <v>5</v>
      </c>
    </row>
    <row r="423" spans="1:8" ht="60">
      <c r="A423" s="147">
        <v>8</v>
      </c>
      <c r="B423" s="30" t="s">
        <v>914</v>
      </c>
      <c r="C423" s="56" t="s">
        <v>915</v>
      </c>
      <c r="D423" s="56" t="s">
        <v>916</v>
      </c>
      <c r="E423" s="56"/>
      <c r="F423" s="30">
        <v>1985</v>
      </c>
      <c r="G423" s="30" t="s">
        <v>917</v>
      </c>
      <c r="H423" s="30">
        <v>4</v>
      </c>
    </row>
    <row r="424" spans="1:8" ht="60">
      <c r="A424" s="147">
        <v>9</v>
      </c>
      <c r="B424" s="30" t="s">
        <v>918</v>
      </c>
      <c r="C424" s="56" t="s">
        <v>919</v>
      </c>
      <c r="D424" s="56" t="s">
        <v>920</v>
      </c>
      <c r="E424" s="56"/>
      <c r="F424" s="30">
        <v>1992</v>
      </c>
      <c r="G424" s="30" t="s">
        <v>921</v>
      </c>
      <c r="H424" s="30">
        <v>4</v>
      </c>
    </row>
    <row r="425" spans="1:8" ht="60">
      <c r="A425" s="147">
        <v>10</v>
      </c>
      <c r="B425" s="30" t="s">
        <v>922</v>
      </c>
      <c r="C425" s="56" t="s">
        <v>923</v>
      </c>
      <c r="D425" s="56" t="s">
        <v>924</v>
      </c>
      <c r="E425" s="56"/>
      <c r="F425" s="30">
        <v>2012</v>
      </c>
      <c r="G425" s="30" t="s">
        <v>925</v>
      </c>
      <c r="H425" s="30">
        <v>1</v>
      </c>
    </row>
    <row r="426" spans="1:8" ht="60">
      <c r="A426" s="147">
        <v>11</v>
      </c>
      <c r="B426" s="30" t="s">
        <v>926</v>
      </c>
      <c r="C426" s="56" t="s">
        <v>927</v>
      </c>
      <c r="D426" s="56" t="s">
        <v>928</v>
      </c>
      <c r="E426" s="56"/>
      <c r="F426" s="30">
        <v>2003</v>
      </c>
      <c r="G426" s="30" t="s">
        <v>929</v>
      </c>
      <c r="H426" s="30">
        <v>3</v>
      </c>
    </row>
    <row r="427" spans="1:8" ht="60">
      <c r="A427" s="147">
        <v>12</v>
      </c>
      <c r="B427" s="30" t="s">
        <v>930</v>
      </c>
      <c r="C427" s="56" t="s">
        <v>931</v>
      </c>
      <c r="D427" s="56" t="s">
        <v>932</v>
      </c>
      <c r="E427" s="56"/>
      <c r="F427" s="30">
        <v>1994</v>
      </c>
      <c r="G427" s="30" t="s">
        <v>933</v>
      </c>
      <c r="H427" s="30">
        <v>1</v>
      </c>
    </row>
    <row r="428" spans="1:8" ht="60">
      <c r="A428" s="147">
        <v>13</v>
      </c>
      <c r="B428" s="30" t="s">
        <v>934</v>
      </c>
      <c r="C428" s="56" t="s">
        <v>935</v>
      </c>
      <c r="D428" s="56" t="s">
        <v>936</v>
      </c>
      <c r="E428" s="56"/>
      <c r="F428" s="30">
        <v>1988</v>
      </c>
      <c r="G428" s="30" t="s">
        <v>937</v>
      </c>
      <c r="H428" s="30">
        <v>4</v>
      </c>
    </row>
    <row r="429" spans="1:8" ht="60">
      <c r="A429" s="147">
        <v>14</v>
      </c>
      <c r="B429" s="30" t="s">
        <v>938</v>
      </c>
      <c r="C429" s="56" t="s">
        <v>939</v>
      </c>
      <c r="D429" s="56" t="s">
        <v>940</v>
      </c>
      <c r="E429" s="56"/>
      <c r="F429" s="30">
        <v>2006</v>
      </c>
      <c r="G429" s="30" t="s">
        <v>941</v>
      </c>
      <c r="H429" s="30">
        <v>1</v>
      </c>
    </row>
    <row r="430" spans="1:8" ht="30">
      <c r="A430" s="48">
        <v>15</v>
      </c>
      <c r="B430" s="48" t="s">
        <v>160</v>
      </c>
      <c r="C430" s="56" t="s">
        <v>942</v>
      </c>
      <c r="D430" s="56" t="s">
        <v>943</v>
      </c>
      <c r="E430" s="56"/>
      <c r="F430" s="30">
        <v>2014</v>
      </c>
      <c r="G430" s="30">
        <v>797904</v>
      </c>
      <c r="H430" s="30">
        <v>1</v>
      </c>
    </row>
    <row r="431" spans="1:8" ht="30">
      <c r="A431" s="48">
        <v>16</v>
      </c>
      <c r="B431" s="48" t="s">
        <v>160</v>
      </c>
      <c r="C431" s="56" t="s">
        <v>944</v>
      </c>
      <c r="D431" s="56" t="s">
        <v>945</v>
      </c>
      <c r="E431" s="56"/>
      <c r="F431" s="30">
        <v>2013</v>
      </c>
      <c r="G431" s="30">
        <v>564977</v>
      </c>
      <c r="H431" s="30">
        <v>1</v>
      </c>
    </row>
    <row r="432" spans="1:8">
      <c r="C432" s="199"/>
      <c r="D432" s="199"/>
      <c r="E432" s="199"/>
      <c r="F432" s="68"/>
      <c r="G432" s="68"/>
      <c r="H432" s="68">
        <f>SUM(H416:H431)</f>
        <v>40</v>
      </c>
    </row>
    <row r="433" spans="1:8" ht="15.75">
      <c r="A433" s="169" t="s">
        <v>946</v>
      </c>
      <c r="C433" s="199"/>
      <c r="D433" s="199"/>
      <c r="E433" s="199"/>
      <c r="F433" s="68"/>
      <c r="G433" s="68"/>
      <c r="H433" s="68"/>
    </row>
    <row r="434" spans="1:8" ht="15.75">
      <c r="A434" s="169" t="s">
        <v>947</v>
      </c>
      <c r="C434" s="199"/>
      <c r="D434" s="199"/>
      <c r="E434" s="199"/>
      <c r="F434" s="68"/>
      <c r="G434" s="68"/>
      <c r="H434" s="68"/>
    </row>
    <row r="435" spans="1:8">
      <c r="C435" s="199"/>
      <c r="D435" s="199"/>
      <c r="E435" s="199"/>
      <c r="F435" s="68"/>
      <c r="G435" s="68"/>
      <c r="H435" s="68"/>
    </row>
    <row r="437" spans="1:8">
      <c r="A437" s="314" t="s">
        <v>948</v>
      </c>
      <c r="B437" s="314"/>
      <c r="C437" s="314"/>
      <c r="D437" s="314"/>
      <c r="E437" s="314"/>
      <c r="F437" s="314"/>
      <c r="G437" s="314"/>
      <c r="H437" s="314"/>
    </row>
    <row r="438" spans="1:8" ht="31.5">
      <c r="A438" s="218" t="s">
        <v>127</v>
      </c>
      <c r="B438" s="219" t="s">
        <v>128</v>
      </c>
      <c r="C438" s="219" t="s">
        <v>129</v>
      </c>
      <c r="D438" s="219" t="s">
        <v>1</v>
      </c>
      <c r="E438" s="219"/>
      <c r="F438" s="219" t="s">
        <v>131</v>
      </c>
      <c r="G438" s="219" t="s">
        <v>132</v>
      </c>
      <c r="H438" s="219" t="s">
        <v>133</v>
      </c>
    </row>
    <row r="439" spans="1:8" ht="60">
      <c r="A439" s="218"/>
      <c r="B439" s="219"/>
      <c r="C439" s="219" t="s">
        <v>949</v>
      </c>
      <c r="D439" s="219" t="s">
        <v>950</v>
      </c>
      <c r="E439" s="39" t="s">
        <v>951</v>
      </c>
      <c r="F439" s="219">
        <v>2023</v>
      </c>
      <c r="G439" s="164">
        <v>3540493</v>
      </c>
      <c r="H439" s="219"/>
    </row>
    <row r="440" spans="1:8" ht="75">
      <c r="A440" s="218"/>
      <c r="B440" s="219"/>
      <c r="C440" s="219" t="s">
        <v>952</v>
      </c>
      <c r="D440" s="219" t="s">
        <v>953</v>
      </c>
      <c r="E440" s="39" t="s">
        <v>954</v>
      </c>
      <c r="F440" s="219">
        <v>2020</v>
      </c>
      <c r="G440" s="70">
        <v>1103404</v>
      </c>
      <c r="H440" s="219"/>
    </row>
    <row r="441" spans="1:8" ht="30">
      <c r="A441" s="48">
        <v>1</v>
      </c>
      <c r="B441" s="48" t="s">
        <v>160</v>
      </c>
      <c r="C441" s="48" t="s">
        <v>608</v>
      </c>
      <c r="D441" s="220" t="s">
        <v>955</v>
      </c>
      <c r="E441" s="220"/>
      <c r="F441" s="48">
        <v>2012</v>
      </c>
      <c r="G441" s="48"/>
      <c r="H441" s="48">
        <v>1</v>
      </c>
    </row>
    <row r="442" spans="1:8" ht="63.75" customHeight="1">
      <c r="A442" s="48">
        <v>2</v>
      </c>
      <c r="B442" s="48" t="s">
        <v>160</v>
      </c>
      <c r="C442" s="48" t="s">
        <v>956</v>
      </c>
      <c r="D442" s="30" t="s">
        <v>957</v>
      </c>
      <c r="E442" s="30"/>
      <c r="F442" s="48">
        <v>2016</v>
      </c>
      <c r="G442" s="48">
        <v>1074606</v>
      </c>
      <c r="H442" s="48">
        <v>1</v>
      </c>
    </row>
    <row r="443" spans="1:8" ht="135">
      <c r="A443" s="48">
        <v>3</v>
      </c>
      <c r="B443" s="48" t="s">
        <v>160</v>
      </c>
      <c r="C443" s="30" t="s">
        <v>958</v>
      </c>
      <c r="D443" s="30" t="s">
        <v>959</v>
      </c>
      <c r="E443" s="39" t="s">
        <v>960</v>
      </c>
      <c r="F443" s="48">
        <v>2019</v>
      </c>
      <c r="G443" s="48">
        <v>2178969</v>
      </c>
      <c r="H443" s="48">
        <v>1</v>
      </c>
    </row>
    <row r="444" spans="1:8" ht="30">
      <c r="A444" s="48">
        <v>4</v>
      </c>
      <c r="B444" s="48" t="s">
        <v>160</v>
      </c>
      <c r="C444" s="30" t="s">
        <v>961</v>
      </c>
      <c r="D444" s="30" t="s">
        <v>962</v>
      </c>
      <c r="E444" s="30"/>
      <c r="F444" s="48">
        <v>2014</v>
      </c>
      <c r="G444" s="48">
        <v>714793</v>
      </c>
      <c r="H444" s="48">
        <v>1</v>
      </c>
    </row>
    <row r="445" spans="1:8">
      <c r="A445" s="48">
        <v>5</v>
      </c>
      <c r="B445" s="48" t="s">
        <v>160</v>
      </c>
      <c r="C445" s="48" t="s">
        <v>963</v>
      </c>
      <c r="D445" s="30" t="s">
        <v>964</v>
      </c>
      <c r="E445" s="30"/>
      <c r="F445" s="48">
        <v>2014</v>
      </c>
      <c r="G445" s="48">
        <v>1103594</v>
      </c>
      <c r="H445" s="48">
        <v>1</v>
      </c>
    </row>
    <row r="446" spans="1:8">
      <c r="A446" s="48">
        <v>6</v>
      </c>
      <c r="B446" s="48" t="s">
        <v>160</v>
      </c>
      <c r="C446" s="48" t="s">
        <v>965</v>
      </c>
      <c r="D446" s="30" t="s">
        <v>966</v>
      </c>
      <c r="E446" s="30"/>
      <c r="F446" s="48">
        <v>2012</v>
      </c>
      <c r="G446" s="48">
        <v>540055</v>
      </c>
      <c r="H446" s="48">
        <v>1</v>
      </c>
    </row>
    <row r="447" spans="1:8">
      <c r="A447" s="48">
        <v>7</v>
      </c>
      <c r="B447" s="48" t="s">
        <v>160</v>
      </c>
      <c r="C447" s="48" t="s">
        <v>967</v>
      </c>
      <c r="D447" s="30" t="s">
        <v>968</v>
      </c>
      <c r="E447" s="30"/>
      <c r="F447" s="48">
        <v>2015</v>
      </c>
      <c r="G447" s="48">
        <v>921067</v>
      </c>
      <c r="H447" s="48">
        <v>1</v>
      </c>
    </row>
    <row r="448" spans="1:8" ht="18.75" customHeight="1">
      <c r="A448" s="48">
        <v>8</v>
      </c>
      <c r="B448" s="48" t="s">
        <v>160</v>
      </c>
      <c r="C448" s="30" t="s">
        <v>969</v>
      </c>
      <c r="D448" s="30" t="s">
        <v>970</v>
      </c>
      <c r="E448" s="30"/>
      <c r="F448" s="48">
        <v>2016</v>
      </c>
      <c r="G448" s="48">
        <v>1606825</v>
      </c>
      <c r="H448" s="48">
        <v>1</v>
      </c>
    </row>
    <row r="449" spans="1:8" ht="32.25" customHeight="1">
      <c r="A449" s="48">
        <v>9</v>
      </c>
      <c r="B449" s="48" t="s">
        <v>160</v>
      </c>
      <c r="C449" s="30" t="s">
        <v>971</v>
      </c>
      <c r="D449" s="30" t="s">
        <v>972</v>
      </c>
      <c r="E449" s="30"/>
      <c r="F449" s="48">
        <v>2012</v>
      </c>
      <c r="G449" s="48">
        <v>541668</v>
      </c>
      <c r="H449" s="48">
        <v>1</v>
      </c>
    </row>
    <row r="450" spans="1:8">
      <c r="A450" s="96"/>
      <c r="B450" s="96"/>
      <c r="C450" s="82"/>
      <c r="D450" s="82"/>
      <c r="E450" s="82"/>
      <c r="F450" s="96"/>
      <c r="G450" s="96"/>
      <c r="H450" s="96"/>
    </row>
    <row r="451" spans="1:8" ht="15.75">
      <c r="A451" s="169" t="s">
        <v>466</v>
      </c>
      <c r="B451" s="96"/>
      <c r="C451" s="82"/>
      <c r="D451" s="82"/>
      <c r="E451" s="82"/>
      <c r="F451" s="96"/>
      <c r="G451" s="96"/>
      <c r="H451" s="96"/>
    </row>
    <row r="452" spans="1:8" ht="15.75">
      <c r="A452" s="169" t="s">
        <v>973</v>
      </c>
      <c r="B452" s="96"/>
      <c r="C452" s="82"/>
      <c r="D452" s="82"/>
      <c r="E452" s="82"/>
      <c r="F452" s="96"/>
      <c r="G452" s="96"/>
      <c r="H452" s="96"/>
    </row>
    <row r="453" spans="1:8">
      <c r="A453" s="96"/>
      <c r="B453" s="96"/>
      <c r="C453" s="82"/>
      <c r="D453" s="82"/>
      <c r="E453" s="82"/>
      <c r="F453" s="96"/>
      <c r="G453" s="96"/>
      <c r="H453" s="96"/>
    </row>
    <row r="454" spans="1:8" ht="15.75">
      <c r="A454" s="307" t="s">
        <v>974</v>
      </c>
      <c r="B454" s="307"/>
      <c r="C454" s="307"/>
      <c r="D454" s="307"/>
      <c r="E454" s="307"/>
      <c r="F454" s="307"/>
      <c r="G454" s="307"/>
      <c r="H454" s="307"/>
    </row>
    <row r="455" spans="1:8" ht="31.5">
      <c r="A455" s="218" t="s">
        <v>127</v>
      </c>
      <c r="B455" s="219" t="s">
        <v>128</v>
      </c>
      <c r="C455" s="219" t="s">
        <v>129</v>
      </c>
      <c r="D455" s="219" t="s">
        <v>1</v>
      </c>
      <c r="E455" s="219"/>
      <c r="F455" s="219" t="s">
        <v>131</v>
      </c>
      <c r="G455" s="219" t="s">
        <v>132</v>
      </c>
      <c r="H455" s="219" t="s">
        <v>133</v>
      </c>
    </row>
    <row r="456" spans="1:8">
      <c r="A456" s="48">
        <v>1</v>
      </c>
      <c r="B456" s="48" t="s">
        <v>160</v>
      </c>
      <c r="C456" s="48" t="s">
        <v>975</v>
      </c>
      <c r="D456" s="48" t="s">
        <v>976</v>
      </c>
      <c r="E456" s="48"/>
      <c r="F456" s="48">
        <v>2016</v>
      </c>
      <c r="G456" s="48">
        <v>1227289</v>
      </c>
      <c r="H456" s="48">
        <v>1</v>
      </c>
    </row>
    <row r="457" spans="1:8" ht="30">
      <c r="A457" s="48">
        <v>2</v>
      </c>
      <c r="B457" s="48" t="s">
        <v>160</v>
      </c>
      <c r="C457" s="48" t="s">
        <v>977</v>
      </c>
      <c r="D457" s="30" t="s">
        <v>978</v>
      </c>
      <c r="E457" s="30"/>
      <c r="F457" s="48">
        <v>2013</v>
      </c>
      <c r="G457" s="48">
        <v>597658</v>
      </c>
      <c r="H457" s="48">
        <v>1</v>
      </c>
    </row>
    <row r="458" spans="1:8">
      <c r="A458" s="96"/>
      <c r="B458" s="96"/>
      <c r="C458" s="96"/>
      <c r="D458" s="96"/>
      <c r="E458" s="96"/>
      <c r="F458" s="96"/>
      <c r="G458" s="96"/>
      <c r="H458" s="96"/>
    </row>
    <row r="459" spans="1:8" ht="15.75">
      <c r="A459" s="169" t="s">
        <v>610</v>
      </c>
      <c r="B459" s="96"/>
      <c r="C459" s="96"/>
      <c r="D459" s="96"/>
      <c r="E459" s="96"/>
      <c r="F459" s="96"/>
      <c r="G459" s="96"/>
      <c r="H459" s="96"/>
    </row>
    <row r="460" spans="1:8" ht="15.75">
      <c r="A460" s="169" t="s">
        <v>611</v>
      </c>
      <c r="B460" s="96"/>
      <c r="C460" s="96"/>
      <c r="D460" s="96"/>
      <c r="E460" s="96"/>
      <c r="F460" s="96"/>
      <c r="G460" s="96"/>
      <c r="H460" s="96"/>
    </row>
    <row r="461" spans="1:8">
      <c r="A461" s="96"/>
      <c r="B461" s="96"/>
      <c r="C461" s="96"/>
      <c r="D461" s="96"/>
      <c r="E461" s="96"/>
      <c r="F461" s="96"/>
      <c r="G461" s="96"/>
      <c r="H461" s="96"/>
    </row>
    <row r="462" spans="1:8">
      <c r="A462" s="96"/>
      <c r="B462" s="96"/>
      <c r="C462" s="96"/>
      <c r="D462" s="96"/>
      <c r="E462" s="96"/>
      <c r="F462" s="96"/>
      <c r="G462" s="96"/>
      <c r="H462" s="96"/>
    </row>
    <row r="463" spans="1:8" ht="15.75">
      <c r="A463" s="307" t="s">
        <v>979</v>
      </c>
      <c r="B463" s="307"/>
      <c r="C463" s="307"/>
      <c r="D463" s="307"/>
      <c r="E463" s="307"/>
      <c r="F463" s="307"/>
      <c r="G463" s="307"/>
      <c r="H463" s="307"/>
    </row>
    <row r="464" spans="1:8" ht="31.5">
      <c r="A464" s="218" t="s">
        <v>127</v>
      </c>
      <c r="B464" s="219" t="s">
        <v>128</v>
      </c>
      <c r="C464" s="219" t="s">
        <v>129</v>
      </c>
      <c r="D464" s="219" t="s">
        <v>1</v>
      </c>
      <c r="E464" s="219"/>
      <c r="F464" s="219" t="s">
        <v>131</v>
      </c>
      <c r="G464" s="219" t="s">
        <v>132</v>
      </c>
      <c r="H464" s="219" t="s">
        <v>133</v>
      </c>
    </row>
    <row r="465" spans="1:8" ht="60">
      <c r="A465" s="218"/>
      <c r="B465" s="219"/>
      <c r="C465" s="219" t="s">
        <v>980</v>
      </c>
      <c r="D465" s="219" t="s">
        <v>981</v>
      </c>
      <c r="E465" s="39" t="s">
        <v>982</v>
      </c>
      <c r="F465" s="219">
        <v>2021</v>
      </c>
      <c r="G465" s="164">
        <v>2693001</v>
      </c>
      <c r="H465" s="219"/>
    </row>
    <row r="466" spans="1:8" ht="60">
      <c r="A466" s="218"/>
      <c r="B466" s="219"/>
      <c r="C466" s="219" t="s">
        <v>983</v>
      </c>
      <c r="D466" s="219" t="s">
        <v>984</v>
      </c>
      <c r="E466" s="39" t="s">
        <v>985</v>
      </c>
      <c r="F466" s="219">
        <v>2021</v>
      </c>
      <c r="G466" s="70">
        <v>2721710</v>
      </c>
      <c r="H466" s="219"/>
    </row>
    <row r="467" spans="1:8" ht="60">
      <c r="A467" s="218"/>
      <c r="B467" s="219"/>
      <c r="C467" s="219" t="s">
        <v>986</v>
      </c>
      <c r="D467" s="219" t="s">
        <v>987</v>
      </c>
      <c r="E467" s="39" t="s">
        <v>988</v>
      </c>
      <c r="F467" s="219">
        <v>2020</v>
      </c>
      <c r="G467" s="219">
        <v>2478366</v>
      </c>
      <c r="H467" s="219"/>
    </row>
    <row r="468" spans="1:8" ht="30">
      <c r="A468" s="48">
        <v>1</v>
      </c>
      <c r="B468" s="48" t="s">
        <v>160</v>
      </c>
      <c r="C468" s="30" t="s">
        <v>989</v>
      </c>
      <c r="D468" s="48" t="s">
        <v>990</v>
      </c>
      <c r="E468" s="48"/>
      <c r="F468" s="48">
        <v>2013</v>
      </c>
      <c r="G468" s="48">
        <v>553316</v>
      </c>
      <c r="H468" s="48">
        <v>1</v>
      </c>
    </row>
    <row r="469" spans="1:8">
      <c r="A469" s="48">
        <v>2</v>
      </c>
      <c r="B469" s="48" t="s">
        <v>160</v>
      </c>
      <c r="C469" s="48" t="s">
        <v>991</v>
      </c>
      <c r="D469" s="48" t="s">
        <v>992</v>
      </c>
      <c r="E469" s="48"/>
      <c r="F469" s="48">
        <v>2017</v>
      </c>
      <c r="G469" s="48">
        <v>1519632</v>
      </c>
      <c r="H469" s="48">
        <v>1</v>
      </c>
    </row>
    <row r="470" spans="1:8" ht="30">
      <c r="A470" s="48">
        <v>3</v>
      </c>
      <c r="B470" s="48" t="s">
        <v>160</v>
      </c>
      <c r="C470" s="30" t="s">
        <v>993</v>
      </c>
      <c r="D470" s="48" t="s">
        <v>994</v>
      </c>
      <c r="E470" s="48"/>
      <c r="F470" s="48">
        <v>2016</v>
      </c>
      <c r="G470" s="48">
        <v>1293691</v>
      </c>
      <c r="H470" s="48">
        <v>1</v>
      </c>
    </row>
    <row r="471" spans="1:8">
      <c r="A471" s="48">
        <v>4</v>
      </c>
      <c r="B471" s="48" t="s">
        <v>160</v>
      </c>
      <c r="C471" s="48" t="s">
        <v>995</v>
      </c>
      <c r="D471" s="48" t="s">
        <v>996</v>
      </c>
      <c r="E471" s="48"/>
      <c r="F471" s="48">
        <v>2017</v>
      </c>
      <c r="G471" s="48">
        <v>1477869</v>
      </c>
      <c r="H471" s="48">
        <v>1</v>
      </c>
    </row>
    <row r="472" spans="1:8" ht="75">
      <c r="A472" s="48">
        <v>5</v>
      </c>
      <c r="B472" s="30" t="s">
        <v>997</v>
      </c>
      <c r="C472" s="30" t="s">
        <v>998</v>
      </c>
      <c r="D472" s="30" t="s">
        <v>999</v>
      </c>
      <c r="E472" s="30"/>
      <c r="F472" s="30">
        <v>2014</v>
      </c>
      <c r="G472" s="30" t="s">
        <v>1000</v>
      </c>
      <c r="H472" s="48">
        <v>5</v>
      </c>
    </row>
    <row r="473" spans="1:8">
      <c r="A473" s="96"/>
      <c r="B473" s="96"/>
      <c r="C473" s="96"/>
      <c r="D473" s="96"/>
      <c r="E473" s="96"/>
      <c r="F473" s="96"/>
      <c r="G473" s="96"/>
      <c r="H473" s="96"/>
    </row>
    <row r="474" spans="1:8" ht="15.75">
      <c r="A474" s="169" t="s">
        <v>404</v>
      </c>
      <c r="B474" s="96"/>
      <c r="C474" s="96"/>
      <c r="D474" s="96"/>
      <c r="E474" s="96"/>
      <c r="F474" s="96"/>
      <c r="G474" s="96"/>
      <c r="H474" s="96"/>
    </row>
    <row r="475" spans="1:8" ht="15.75">
      <c r="A475" s="169" t="s">
        <v>973</v>
      </c>
      <c r="B475" s="96"/>
      <c r="C475" s="96"/>
      <c r="D475" s="96"/>
      <c r="E475" s="96"/>
      <c r="F475" s="96"/>
      <c r="G475" s="96"/>
      <c r="H475" s="96"/>
    </row>
    <row r="476" spans="1:8">
      <c r="A476" s="96"/>
      <c r="B476" s="96"/>
      <c r="C476" s="96"/>
      <c r="D476" s="96"/>
      <c r="E476" s="96"/>
      <c r="F476" s="96"/>
      <c r="G476" s="96"/>
      <c r="H476" s="96"/>
    </row>
    <row r="477" spans="1:8">
      <c r="A477" s="96"/>
      <c r="B477" s="96"/>
      <c r="C477" s="96"/>
      <c r="D477" s="96"/>
      <c r="E477" s="96"/>
      <c r="F477" s="96"/>
      <c r="G477" s="96"/>
      <c r="H477" s="96"/>
    </row>
    <row r="478" spans="1:8" ht="15.75">
      <c r="A478" s="135" t="s">
        <v>1001</v>
      </c>
      <c r="B478" s="135"/>
      <c r="C478" s="135"/>
      <c r="D478" s="136"/>
      <c r="E478" s="136"/>
      <c r="F478" s="136"/>
      <c r="G478" s="136"/>
      <c r="H478" s="136"/>
    </row>
    <row r="479" spans="1:8" ht="31.5">
      <c r="A479" s="221" t="s">
        <v>127</v>
      </c>
      <c r="B479" s="222" t="s">
        <v>128</v>
      </c>
      <c r="C479" s="222" t="s">
        <v>129</v>
      </c>
      <c r="D479" s="222" t="s">
        <v>1</v>
      </c>
      <c r="E479" s="222"/>
      <c r="F479" s="222" t="s">
        <v>131</v>
      </c>
      <c r="G479" s="222" t="s">
        <v>132</v>
      </c>
      <c r="H479" s="222" t="s">
        <v>133</v>
      </c>
    </row>
    <row r="480" spans="1:8" ht="90">
      <c r="A480" s="221"/>
      <c r="B480" s="222"/>
      <c r="C480" s="222" t="s">
        <v>1002</v>
      </c>
      <c r="D480" s="222" t="s">
        <v>1003</v>
      </c>
      <c r="E480" s="154" t="s">
        <v>1004</v>
      </c>
      <c r="F480" s="222">
        <v>2020</v>
      </c>
      <c r="G480" s="222">
        <v>2395806</v>
      </c>
      <c r="H480" s="222"/>
    </row>
    <row r="481" spans="1:8" ht="75">
      <c r="A481" s="48">
        <v>1</v>
      </c>
      <c r="B481" s="30" t="s">
        <v>1005</v>
      </c>
      <c r="C481" s="30" t="s">
        <v>1006</v>
      </c>
      <c r="D481" s="30" t="s">
        <v>1007</v>
      </c>
      <c r="E481" s="30"/>
      <c r="F481" s="30">
        <v>2013</v>
      </c>
      <c r="G481" s="30" t="s">
        <v>1008</v>
      </c>
      <c r="H481" s="48">
        <v>5</v>
      </c>
    </row>
    <row r="482" spans="1:8" ht="75">
      <c r="A482" s="48">
        <v>2</v>
      </c>
      <c r="B482" s="185" t="s">
        <v>1009</v>
      </c>
      <c r="C482" s="185" t="s">
        <v>1010</v>
      </c>
      <c r="D482" s="185" t="s">
        <v>1011</v>
      </c>
      <c r="E482" s="185"/>
      <c r="F482" s="185">
        <v>1996</v>
      </c>
      <c r="G482" s="185" t="s">
        <v>1012</v>
      </c>
      <c r="H482" s="103">
        <v>5</v>
      </c>
    </row>
    <row r="483" spans="1:8" ht="150">
      <c r="A483" s="48">
        <v>3</v>
      </c>
      <c r="B483" s="30" t="s">
        <v>1013</v>
      </c>
      <c r="C483" s="30" t="s">
        <v>1014</v>
      </c>
      <c r="D483" s="30" t="s">
        <v>73</v>
      </c>
      <c r="E483" s="30"/>
      <c r="F483" s="30">
        <v>1981</v>
      </c>
      <c r="G483" s="30" t="s">
        <v>1015</v>
      </c>
      <c r="H483" s="48">
        <v>10</v>
      </c>
    </row>
    <row r="484" spans="1:8" ht="210">
      <c r="A484" s="48">
        <v>4</v>
      </c>
      <c r="B484" s="185" t="s">
        <v>1016</v>
      </c>
      <c r="C484" s="185" t="s">
        <v>1017</v>
      </c>
      <c r="D484" s="185" t="s">
        <v>1018</v>
      </c>
      <c r="E484" s="185"/>
      <c r="F484" s="185">
        <v>1986</v>
      </c>
      <c r="G484" s="185" t="s">
        <v>1019</v>
      </c>
      <c r="H484" s="103">
        <v>14</v>
      </c>
    </row>
    <row r="485" spans="1:8" ht="120">
      <c r="A485" s="48">
        <v>5</v>
      </c>
      <c r="B485" s="30" t="s">
        <v>1020</v>
      </c>
      <c r="C485" s="30" t="s">
        <v>1021</v>
      </c>
      <c r="D485" s="30" t="s">
        <v>1022</v>
      </c>
      <c r="E485" s="30"/>
      <c r="F485" s="30">
        <v>2003</v>
      </c>
      <c r="G485" s="30" t="s">
        <v>1023</v>
      </c>
      <c r="H485" s="48">
        <v>10</v>
      </c>
    </row>
    <row r="486" spans="1:8">
      <c r="A486" s="96"/>
      <c r="B486" s="96"/>
      <c r="C486" s="82"/>
      <c r="D486" s="82"/>
      <c r="E486" s="82"/>
      <c r="F486" s="82"/>
      <c r="G486" s="96"/>
      <c r="H486" s="96">
        <f>SUM(H481:H485)</f>
        <v>44</v>
      </c>
    </row>
    <row r="487" spans="1:8" ht="15.75">
      <c r="A487" s="169" t="s">
        <v>404</v>
      </c>
      <c r="B487" s="96"/>
      <c r="C487" s="82"/>
      <c r="D487" s="82"/>
      <c r="E487" s="82"/>
      <c r="F487" s="82"/>
      <c r="G487" s="96"/>
      <c r="H487" s="96"/>
    </row>
    <row r="488" spans="1:8" ht="15.75">
      <c r="A488" s="169" t="s">
        <v>1024</v>
      </c>
      <c r="B488" s="96"/>
      <c r="C488" s="82"/>
      <c r="D488" s="82"/>
      <c r="E488" s="82"/>
      <c r="F488" s="82"/>
      <c r="G488" s="96"/>
      <c r="H488" s="96"/>
    </row>
    <row r="489" spans="1:8" ht="16.5" customHeight="1">
      <c r="A489" s="96"/>
      <c r="B489" s="96"/>
      <c r="C489" s="82"/>
      <c r="D489" s="82"/>
      <c r="E489" s="82"/>
      <c r="F489" s="82"/>
      <c r="G489" s="96"/>
      <c r="H489" s="96"/>
    </row>
    <row r="490" spans="1:8">
      <c r="A490" s="96"/>
      <c r="B490" s="96"/>
      <c r="C490" s="96"/>
      <c r="D490" s="96"/>
      <c r="E490" s="96"/>
      <c r="F490" s="96"/>
      <c r="G490" s="96"/>
      <c r="H490" s="96"/>
    </row>
    <row r="491" spans="1:8" ht="15.75">
      <c r="A491" s="135" t="s">
        <v>1025</v>
      </c>
      <c r="B491" s="136"/>
      <c r="C491" s="136"/>
      <c r="D491" s="136"/>
      <c r="E491" s="136"/>
      <c r="F491" s="136"/>
      <c r="G491" s="136"/>
      <c r="H491" s="136"/>
    </row>
    <row r="492" spans="1:8" ht="31.5">
      <c r="A492" s="221" t="s">
        <v>127</v>
      </c>
      <c r="B492" s="222" t="s">
        <v>128</v>
      </c>
      <c r="C492" s="222" t="s">
        <v>129</v>
      </c>
      <c r="D492" s="222" t="s">
        <v>1</v>
      </c>
      <c r="E492" s="222"/>
      <c r="F492" s="222" t="s">
        <v>131</v>
      </c>
      <c r="G492" s="222" t="s">
        <v>132</v>
      </c>
      <c r="H492" s="222" t="s">
        <v>133</v>
      </c>
    </row>
    <row r="493" spans="1:8" ht="75">
      <c r="A493" s="48">
        <v>1</v>
      </c>
      <c r="B493" s="30" t="s">
        <v>1026</v>
      </c>
      <c r="C493" s="30" t="s">
        <v>1027</v>
      </c>
      <c r="D493" s="30" t="s">
        <v>1028</v>
      </c>
      <c r="E493" s="30"/>
      <c r="F493" s="30">
        <v>2012</v>
      </c>
      <c r="G493" s="30" t="s">
        <v>1029</v>
      </c>
      <c r="H493" s="48">
        <v>5</v>
      </c>
    </row>
    <row r="494" spans="1:8" ht="108" customHeight="1">
      <c r="A494" s="48">
        <v>2</v>
      </c>
      <c r="B494" s="185" t="s">
        <v>1030</v>
      </c>
      <c r="C494" s="185" t="s">
        <v>1031</v>
      </c>
      <c r="D494" s="185" t="s">
        <v>1032</v>
      </c>
      <c r="E494" s="185"/>
      <c r="F494" s="185">
        <v>1995</v>
      </c>
      <c r="G494" s="185" t="s">
        <v>1033</v>
      </c>
      <c r="H494" s="103">
        <v>5</v>
      </c>
    </row>
    <row r="495" spans="1:8" ht="75">
      <c r="A495" s="48">
        <v>3</v>
      </c>
      <c r="B495" s="30" t="s">
        <v>1034</v>
      </c>
      <c r="C495" s="30" t="s">
        <v>1035</v>
      </c>
      <c r="D495" s="30" t="s">
        <v>1036</v>
      </c>
      <c r="E495" s="30"/>
      <c r="F495" s="30">
        <v>2012</v>
      </c>
      <c r="G495" s="30" t="s">
        <v>1029</v>
      </c>
      <c r="H495" s="48">
        <v>5</v>
      </c>
    </row>
    <row r="496" spans="1:8" ht="30">
      <c r="A496" s="48">
        <v>4</v>
      </c>
      <c r="B496" s="30" t="s">
        <v>160</v>
      </c>
      <c r="C496" s="30" t="s">
        <v>1037</v>
      </c>
      <c r="D496" s="30" t="s">
        <v>1038</v>
      </c>
      <c r="E496" s="30"/>
      <c r="F496" s="30">
        <v>2019</v>
      </c>
      <c r="G496" s="30">
        <v>2238692</v>
      </c>
      <c r="H496" s="48">
        <v>1</v>
      </c>
    </row>
    <row r="497" spans="1:8" ht="30">
      <c r="A497" s="48">
        <v>5</v>
      </c>
      <c r="B497" s="30" t="s">
        <v>160</v>
      </c>
      <c r="C497" s="30" t="s">
        <v>1039</v>
      </c>
      <c r="D497" s="30" t="s">
        <v>1040</v>
      </c>
      <c r="E497" s="30"/>
      <c r="F497" s="30">
        <v>2017</v>
      </c>
      <c r="G497" s="30">
        <v>1480906</v>
      </c>
      <c r="H497" s="48">
        <v>1</v>
      </c>
    </row>
    <row r="498" spans="1:8" ht="30">
      <c r="A498" s="48">
        <v>6</v>
      </c>
      <c r="B498" s="30" t="s">
        <v>160</v>
      </c>
      <c r="C498" s="30" t="s">
        <v>1041</v>
      </c>
      <c r="D498" s="30" t="s">
        <v>1042</v>
      </c>
      <c r="E498" s="30"/>
      <c r="F498" s="30">
        <v>2014</v>
      </c>
      <c r="G498" s="30">
        <v>777865</v>
      </c>
      <c r="H498" s="48">
        <v>1</v>
      </c>
    </row>
    <row r="499" spans="1:8">
      <c r="A499" s="96"/>
      <c r="B499" s="96"/>
      <c r="C499" s="96"/>
      <c r="D499" s="96"/>
      <c r="E499" s="96"/>
      <c r="F499" s="96"/>
      <c r="G499" s="96"/>
      <c r="H499" s="96"/>
    </row>
    <row r="500" spans="1:8" ht="15.75">
      <c r="A500" s="169" t="s">
        <v>662</v>
      </c>
      <c r="B500" s="96"/>
      <c r="C500" s="82"/>
      <c r="D500" s="82"/>
      <c r="E500" s="82"/>
      <c r="F500" s="82"/>
      <c r="G500" s="96"/>
      <c r="H500" s="96"/>
    </row>
    <row r="501" spans="1:8" ht="15.75">
      <c r="A501" s="169" t="s">
        <v>467</v>
      </c>
      <c r="B501" s="96"/>
      <c r="C501" s="82"/>
      <c r="D501" s="82"/>
      <c r="E501" s="82"/>
      <c r="F501" s="82"/>
      <c r="G501" s="96"/>
      <c r="H501" s="96"/>
    </row>
    <row r="502" spans="1:8">
      <c r="A502" s="96"/>
      <c r="B502" s="96"/>
      <c r="C502" s="82"/>
      <c r="D502" s="82"/>
      <c r="E502" s="82"/>
      <c r="F502" s="82"/>
      <c r="G502" s="96"/>
      <c r="H502" s="96"/>
    </row>
    <row r="503" spans="1:8">
      <c r="A503" s="96"/>
      <c r="B503" s="96"/>
      <c r="C503" s="82"/>
      <c r="D503" s="82"/>
      <c r="E503" s="82"/>
      <c r="F503" s="82"/>
      <c r="G503" s="96"/>
      <c r="H503" s="96"/>
    </row>
    <row r="504" spans="1:8" ht="15.75">
      <c r="A504" s="135" t="s">
        <v>1043</v>
      </c>
      <c r="B504" s="136"/>
      <c r="C504" s="136"/>
      <c r="D504" s="136"/>
      <c r="E504" s="136"/>
      <c r="F504" s="136"/>
      <c r="G504" s="136"/>
      <c r="H504" s="136"/>
    </row>
    <row r="505" spans="1:8" ht="31.5">
      <c r="A505" s="218" t="s">
        <v>127</v>
      </c>
      <c r="B505" s="219" t="s">
        <v>128</v>
      </c>
      <c r="C505" s="219" t="s">
        <v>129</v>
      </c>
      <c r="D505" s="219" t="s">
        <v>1</v>
      </c>
      <c r="E505" s="219"/>
      <c r="F505" s="219" t="s">
        <v>131</v>
      </c>
      <c r="G505" s="219" t="s">
        <v>132</v>
      </c>
      <c r="H505" s="219" t="s">
        <v>133</v>
      </c>
    </row>
    <row r="506" spans="1:8" ht="30">
      <c r="A506" s="48">
        <v>1</v>
      </c>
      <c r="B506" s="30" t="s">
        <v>160</v>
      </c>
      <c r="C506" s="48" t="s">
        <v>1044</v>
      </c>
      <c r="D506" s="30" t="s">
        <v>1045</v>
      </c>
      <c r="E506" s="30"/>
      <c r="F506" s="48">
        <v>2015</v>
      </c>
      <c r="G506" s="48">
        <v>996413</v>
      </c>
      <c r="H506" s="48">
        <v>1</v>
      </c>
    </row>
    <row r="507" spans="1:8" ht="30">
      <c r="A507" s="48">
        <v>2</v>
      </c>
      <c r="B507" s="30" t="s">
        <v>160</v>
      </c>
      <c r="C507" s="30" t="s">
        <v>1046</v>
      </c>
      <c r="D507" s="30" t="s">
        <v>1047</v>
      </c>
      <c r="E507" s="30"/>
      <c r="F507" s="48">
        <v>2015</v>
      </c>
      <c r="G507" s="48">
        <v>1940341</v>
      </c>
      <c r="H507" s="48">
        <v>1</v>
      </c>
    </row>
    <row r="508" spans="1:8" ht="45">
      <c r="A508" s="48">
        <v>3</v>
      </c>
      <c r="B508" s="30" t="s">
        <v>160</v>
      </c>
      <c r="C508" s="48" t="s">
        <v>1048</v>
      </c>
      <c r="D508" s="30" t="s">
        <v>1049</v>
      </c>
      <c r="E508" s="30"/>
      <c r="F508" s="48">
        <v>2017</v>
      </c>
      <c r="G508" s="48">
        <v>1587970</v>
      </c>
      <c r="H508" s="48">
        <v>1</v>
      </c>
    </row>
    <row r="509" spans="1:8">
      <c r="A509" s="48">
        <v>4</v>
      </c>
      <c r="B509" s="30" t="s">
        <v>160</v>
      </c>
      <c r="C509" s="48" t="s">
        <v>1050</v>
      </c>
      <c r="D509" s="30" t="s">
        <v>1051</v>
      </c>
      <c r="E509" s="30"/>
      <c r="F509" s="48">
        <v>2014</v>
      </c>
      <c r="G509" s="48">
        <v>810449</v>
      </c>
      <c r="H509" s="48">
        <v>1</v>
      </c>
    </row>
    <row r="510" spans="1:8" ht="30">
      <c r="A510" s="48">
        <v>5</v>
      </c>
      <c r="B510" s="30" t="s">
        <v>160</v>
      </c>
      <c r="C510" s="48" t="s">
        <v>1052</v>
      </c>
      <c r="D510" s="30" t="s">
        <v>1053</v>
      </c>
      <c r="E510" s="30"/>
      <c r="F510" s="48">
        <v>2013</v>
      </c>
      <c r="G510" s="48">
        <v>686382</v>
      </c>
      <c r="H510" s="48">
        <v>1</v>
      </c>
    </row>
    <row r="511" spans="1:8">
      <c r="A511" s="96"/>
      <c r="B511" s="96"/>
      <c r="C511" s="96"/>
      <c r="D511" s="82"/>
      <c r="E511" s="82"/>
      <c r="F511" s="96"/>
      <c r="G511" s="96"/>
      <c r="H511" s="96"/>
    </row>
    <row r="512" spans="1:8" ht="15.75">
      <c r="A512" s="169" t="s">
        <v>404</v>
      </c>
      <c r="B512" s="96"/>
      <c r="C512" s="96"/>
      <c r="D512" s="82"/>
      <c r="E512" s="82"/>
      <c r="F512" s="96"/>
      <c r="G512" s="96"/>
      <c r="H512" s="96"/>
    </row>
    <row r="513" spans="1:8" ht="15.75">
      <c r="A513" s="169" t="s">
        <v>641</v>
      </c>
      <c r="B513" s="96"/>
      <c r="C513" s="96"/>
      <c r="D513" s="82"/>
      <c r="E513" s="82"/>
      <c r="F513" s="96"/>
      <c r="G513" s="96"/>
      <c r="H513" s="96"/>
    </row>
    <row r="514" spans="1:8">
      <c r="A514" s="96"/>
      <c r="B514" s="96"/>
      <c r="C514" s="96"/>
      <c r="D514" s="82"/>
      <c r="E514" s="82"/>
      <c r="F514" s="96"/>
      <c r="G514" s="96"/>
      <c r="H514" s="96"/>
    </row>
    <row r="515" spans="1:8">
      <c r="A515" s="96"/>
      <c r="B515" s="96"/>
      <c r="C515" s="96"/>
      <c r="D515" s="96"/>
      <c r="E515" s="96"/>
      <c r="F515" s="96"/>
      <c r="G515" s="96"/>
      <c r="H515" s="96"/>
    </row>
    <row r="516" spans="1:8" ht="15.75">
      <c r="A516" s="135" t="s">
        <v>1054</v>
      </c>
      <c r="B516" s="136"/>
      <c r="C516" s="136"/>
      <c r="D516" s="136"/>
      <c r="E516" s="136"/>
      <c r="F516" s="136"/>
      <c r="G516" s="136"/>
      <c r="H516" s="136"/>
    </row>
    <row r="517" spans="1:8" ht="31.5">
      <c r="A517" s="218" t="s">
        <v>127</v>
      </c>
      <c r="B517" s="219" t="s">
        <v>128</v>
      </c>
      <c r="C517" s="219" t="s">
        <v>129</v>
      </c>
      <c r="D517" s="219" t="s">
        <v>1</v>
      </c>
      <c r="E517" s="219"/>
      <c r="F517" s="219" t="s">
        <v>131</v>
      </c>
      <c r="G517" s="219" t="s">
        <v>132</v>
      </c>
      <c r="H517" s="219" t="s">
        <v>133</v>
      </c>
    </row>
    <row r="518" spans="1:8" ht="75">
      <c r="A518" s="218"/>
      <c r="B518" s="219"/>
      <c r="C518" s="219" t="s">
        <v>1055</v>
      </c>
      <c r="D518" s="219" t="s">
        <v>1056</v>
      </c>
      <c r="E518" s="39" t="s">
        <v>1057</v>
      </c>
      <c r="F518" s="219">
        <v>2020</v>
      </c>
      <c r="G518" s="219">
        <v>2458465</v>
      </c>
      <c r="H518" s="219"/>
    </row>
    <row r="519" spans="1:8" ht="30">
      <c r="A519" s="48">
        <v>1</v>
      </c>
      <c r="B519" s="48" t="s">
        <v>160</v>
      </c>
      <c r="C519" s="48" t="s">
        <v>1058</v>
      </c>
      <c r="D519" s="30" t="s">
        <v>1059</v>
      </c>
      <c r="E519" s="30"/>
      <c r="F519" s="48">
        <v>2017</v>
      </c>
      <c r="G519" s="48">
        <v>1533091</v>
      </c>
      <c r="H519" s="48">
        <v>1</v>
      </c>
    </row>
    <row r="520" spans="1:8" ht="30">
      <c r="A520" s="48">
        <v>2</v>
      </c>
      <c r="B520" s="103" t="s">
        <v>160</v>
      </c>
      <c r="C520" s="185" t="s">
        <v>1060</v>
      </c>
      <c r="D520" s="103" t="s">
        <v>1061</v>
      </c>
      <c r="E520" s="103"/>
      <c r="F520" s="103">
        <v>2020</v>
      </c>
      <c r="G520" s="103">
        <v>2505380</v>
      </c>
      <c r="H520" s="103">
        <v>1</v>
      </c>
    </row>
    <row r="521" spans="1:8" ht="105">
      <c r="A521" s="48">
        <v>3</v>
      </c>
      <c r="B521" s="30" t="s">
        <v>1062</v>
      </c>
      <c r="C521" s="30" t="s">
        <v>859</v>
      </c>
      <c r="D521" s="30" t="s">
        <v>1063</v>
      </c>
      <c r="E521" s="30"/>
      <c r="F521" s="30">
        <v>2011</v>
      </c>
      <c r="G521" s="30" t="s">
        <v>1064</v>
      </c>
      <c r="H521" s="48">
        <v>7</v>
      </c>
    </row>
    <row r="522" spans="1:8" ht="150">
      <c r="A522" s="48">
        <v>4</v>
      </c>
      <c r="B522" s="185" t="s">
        <v>1065</v>
      </c>
      <c r="C522" s="185" t="s">
        <v>1066</v>
      </c>
      <c r="D522" s="185" t="s">
        <v>1067</v>
      </c>
      <c r="E522" s="185"/>
      <c r="F522" s="185">
        <v>2013</v>
      </c>
      <c r="G522" s="185" t="s">
        <v>1068</v>
      </c>
      <c r="H522" s="103">
        <v>10</v>
      </c>
    </row>
    <row r="523" spans="1:8" ht="150">
      <c r="A523" s="48">
        <v>5</v>
      </c>
      <c r="B523" s="30" t="s">
        <v>1069</v>
      </c>
      <c r="C523" s="30" t="s">
        <v>1070</v>
      </c>
      <c r="D523" s="30" t="s">
        <v>1071</v>
      </c>
      <c r="E523" s="30"/>
      <c r="F523" s="30">
        <v>2014</v>
      </c>
      <c r="G523" s="30" t="s">
        <v>1072</v>
      </c>
      <c r="H523" s="48">
        <v>10</v>
      </c>
    </row>
    <row r="524" spans="1:8">
      <c r="A524" s="96"/>
      <c r="B524" s="96"/>
      <c r="C524" s="96"/>
      <c r="D524" s="96"/>
      <c r="E524" s="96"/>
      <c r="F524" s="96"/>
      <c r="G524" s="96"/>
      <c r="H524" s="96"/>
    </row>
    <row r="525" spans="1:8" ht="15.75">
      <c r="A525" s="169" t="s">
        <v>404</v>
      </c>
      <c r="B525" s="96"/>
      <c r="C525" s="96"/>
      <c r="D525" s="96"/>
      <c r="E525" s="96"/>
      <c r="F525" s="96"/>
      <c r="G525" s="96"/>
      <c r="H525" s="96"/>
    </row>
    <row r="526" spans="1:8" ht="15.75">
      <c r="A526" s="169" t="s">
        <v>1073</v>
      </c>
      <c r="B526" s="96"/>
      <c r="C526" s="96"/>
      <c r="D526" s="96"/>
      <c r="E526" s="96"/>
      <c r="F526" s="96"/>
      <c r="G526" s="96"/>
      <c r="H526" s="96"/>
    </row>
    <row r="527" spans="1:8">
      <c r="A527" s="96"/>
      <c r="B527" s="96"/>
      <c r="C527" s="96"/>
      <c r="D527" s="96"/>
      <c r="E527" s="96"/>
      <c r="F527" s="96"/>
      <c r="G527" s="96"/>
      <c r="H527" s="96"/>
    </row>
    <row r="528" spans="1:8" ht="15.75">
      <c r="A528" s="135" t="s">
        <v>1074</v>
      </c>
      <c r="B528" s="136"/>
      <c r="C528" s="136"/>
      <c r="D528" s="136"/>
      <c r="E528" s="136"/>
      <c r="F528" s="136"/>
      <c r="G528" s="136"/>
      <c r="H528" s="136"/>
    </row>
    <row r="529" spans="1:9" ht="15.75">
      <c r="A529" s="135" t="s">
        <v>1075</v>
      </c>
      <c r="B529" s="136"/>
      <c r="C529" s="136"/>
      <c r="D529" s="136"/>
      <c r="E529" s="136"/>
      <c r="F529" s="136"/>
      <c r="G529" s="136"/>
      <c r="H529" s="136"/>
      <c r="I529" s="136"/>
    </row>
    <row r="530" spans="1:9" ht="31.5">
      <c r="A530" s="218" t="s">
        <v>127</v>
      </c>
      <c r="B530" s="219" t="s">
        <v>128</v>
      </c>
      <c r="C530" s="219" t="s">
        <v>129</v>
      </c>
      <c r="D530" s="219" t="s">
        <v>1</v>
      </c>
      <c r="E530" s="219"/>
      <c r="F530" s="219" t="s">
        <v>131</v>
      </c>
      <c r="G530" s="219" t="s">
        <v>132</v>
      </c>
      <c r="H530" s="219" t="s">
        <v>133</v>
      </c>
    </row>
    <row r="531" spans="1:9" ht="75">
      <c r="A531" s="218"/>
      <c r="B531" s="219"/>
      <c r="C531" s="219" t="s">
        <v>1076</v>
      </c>
      <c r="D531" s="219" t="s">
        <v>1077</v>
      </c>
      <c r="E531" s="39" t="s">
        <v>1078</v>
      </c>
      <c r="F531" s="219">
        <v>2021</v>
      </c>
      <c r="G531" s="219">
        <v>3219039</v>
      </c>
      <c r="H531" s="219"/>
    </row>
    <row r="532" spans="1:9" ht="60">
      <c r="A532" s="218"/>
      <c r="B532" s="219"/>
      <c r="C532" s="219" t="s">
        <v>1079</v>
      </c>
      <c r="D532" s="219" t="s">
        <v>1080</v>
      </c>
      <c r="E532" s="39" t="s">
        <v>1081</v>
      </c>
      <c r="F532" s="219">
        <v>2020</v>
      </c>
      <c r="G532" s="219">
        <v>1103246</v>
      </c>
      <c r="H532" s="219"/>
    </row>
    <row r="533" spans="1:9" ht="30">
      <c r="A533" s="48">
        <v>1</v>
      </c>
      <c r="B533" s="48" t="s">
        <v>160</v>
      </c>
      <c r="C533" s="30" t="s">
        <v>1082</v>
      </c>
      <c r="D533" s="30" t="s">
        <v>1083</v>
      </c>
      <c r="E533" s="30"/>
      <c r="F533" s="30">
        <v>2016</v>
      </c>
      <c r="G533" s="30">
        <v>1261142</v>
      </c>
      <c r="H533" s="30">
        <v>1</v>
      </c>
    </row>
    <row r="534" spans="1:9" ht="30">
      <c r="A534" s="48">
        <v>2</v>
      </c>
      <c r="B534" s="48" t="s">
        <v>160</v>
      </c>
      <c r="C534" s="30" t="s">
        <v>1084</v>
      </c>
      <c r="D534" s="30" t="s">
        <v>1085</v>
      </c>
      <c r="E534" s="30"/>
      <c r="F534" s="48">
        <v>2016</v>
      </c>
      <c r="G534" s="48">
        <v>1074631</v>
      </c>
      <c r="H534" s="48">
        <v>1</v>
      </c>
    </row>
    <row r="535" spans="1:9" ht="30">
      <c r="A535" s="48">
        <v>3</v>
      </c>
      <c r="B535" s="48" t="s">
        <v>160</v>
      </c>
      <c r="C535" s="30" t="s">
        <v>1086</v>
      </c>
      <c r="D535" s="30" t="s">
        <v>1087</v>
      </c>
      <c r="E535" s="30"/>
      <c r="F535" s="30">
        <v>2020</v>
      </c>
      <c r="G535" s="30" t="s">
        <v>1088</v>
      </c>
      <c r="H535" s="30">
        <v>1</v>
      </c>
    </row>
    <row r="536" spans="1:9" ht="30">
      <c r="A536" s="48">
        <v>4</v>
      </c>
      <c r="B536" s="48" t="s">
        <v>160</v>
      </c>
      <c r="C536" s="30" t="s">
        <v>1089</v>
      </c>
      <c r="D536" s="30" t="s">
        <v>1090</v>
      </c>
      <c r="E536" s="30"/>
      <c r="F536" s="30">
        <v>2013</v>
      </c>
      <c r="G536" s="30">
        <v>486345</v>
      </c>
      <c r="H536" s="30">
        <v>1</v>
      </c>
    </row>
    <row r="537" spans="1:9" ht="30">
      <c r="A537" s="48">
        <v>5</v>
      </c>
      <c r="B537" s="48" t="s">
        <v>160</v>
      </c>
      <c r="C537" s="30" t="s">
        <v>1082</v>
      </c>
      <c r="D537" s="30" t="s">
        <v>1083</v>
      </c>
      <c r="E537" s="30"/>
      <c r="F537" s="30">
        <v>2016</v>
      </c>
      <c r="G537" s="30">
        <v>1261142</v>
      </c>
      <c r="H537" s="30">
        <v>1</v>
      </c>
    </row>
    <row r="538" spans="1:9" ht="30">
      <c r="A538" s="48">
        <v>6</v>
      </c>
      <c r="B538" s="48" t="s">
        <v>160</v>
      </c>
      <c r="C538" s="30" t="s">
        <v>1091</v>
      </c>
      <c r="D538" s="30" t="s">
        <v>1092</v>
      </c>
      <c r="E538" s="30"/>
      <c r="F538" s="30">
        <v>2017</v>
      </c>
      <c r="G538" s="30">
        <v>1144603</v>
      </c>
      <c r="H538" s="30">
        <v>1</v>
      </c>
    </row>
    <row r="539" spans="1:9" ht="30">
      <c r="A539" s="48">
        <v>7</v>
      </c>
      <c r="B539" s="48" t="s">
        <v>160</v>
      </c>
      <c r="C539" s="30" t="s">
        <v>1093</v>
      </c>
      <c r="D539" s="30" t="s">
        <v>1094</v>
      </c>
      <c r="E539" s="30"/>
      <c r="F539" s="30">
        <v>2016</v>
      </c>
      <c r="G539" s="30">
        <v>1352249</v>
      </c>
      <c r="H539" s="30">
        <v>1</v>
      </c>
    </row>
    <row r="540" spans="1:9" ht="30">
      <c r="A540" s="48">
        <v>8</v>
      </c>
      <c r="B540" s="48" t="s">
        <v>160</v>
      </c>
      <c r="C540" s="30" t="s">
        <v>1095</v>
      </c>
      <c r="D540" s="30" t="s">
        <v>1096</v>
      </c>
      <c r="E540" s="30"/>
      <c r="F540" s="48">
        <v>2016</v>
      </c>
      <c r="G540" s="48">
        <v>1164745</v>
      </c>
      <c r="H540" s="48">
        <v>1</v>
      </c>
    </row>
    <row r="541" spans="1:9" ht="15.75">
      <c r="A541" s="163"/>
      <c r="B541" s="96"/>
      <c r="C541" s="82"/>
      <c r="D541" s="82"/>
      <c r="E541" s="82"/>
      <c r="F541" s="96"/>
      <c r="G541" s="96"/>
      <c r="H541" s="96"/>
    </row>
    <row r="542" spans="1:9" ht="15.75">
      <c r="A542" s="169" t="s">
        <v>515</v>
      </c>
      <c r="B542" s="96"/>
      <c r="C542" s="82"/>
      <c r="D542" s="82"/>
      <c r="E542" s="82"/>
      <c r="F542" s="96"/>
      <c r="G542" s="96"/>
      <c r="H542" s="96"/>
    </row>
    <row r="543" spans="1:9" ht="15.75">
      <c r="A543" s="169" t="s">
        <v>1097</v>
      </c>
      <c r="B543" s="96"/>
      <c r="C543" s="82"/>
      <c r="D543" s="82"/>
      <c r="E543" s="82"/>
      <c r="F543" s="96"/>
      <c r="G543" s="96"/>
      <c r="H543" s="96"/>
    </row>
    <row r="544" spans="1:9">
      <c r="A544" s="96"/>
      <c r="B544" s="96"/>
      <c r="C544" s="96"/>
      <c r="D544" s="96"/>
      <c r="E544" s="96"/>
      <c r="F544" s="96"/>
      <c r="G544" s="96"/>
      <c r="H544" s="96"/>
    </row>
    <row r="545" spans="1:8" ht="15.75">
      <c r="A545" s="135" t="s">
        <v>1098</v>
      </c>
      <c r="B545" s="136"/>
      <c r="C545" s="136"/>
      <c r="D545" s="136"/>
      <c r="E545" s="136"/>
      <c r="F545" s="136"/>
      <c r="G545" s="136"/>
      <c r="H545" s="136"/>
    </row>
    <row r="546" spans="1:8" ht="31.5">
      <c r="A546" s="218" t="s">
        <v>127</v>
      </c>
      <c r="B546" s="219" t="s">
        <v>128</v>
      </c>
      <c r="C546" s="219" t="s">
        <v>129</v>
      </c>
      <c r="D546" s="219" t="s">
        <v>1</v>
      </c>
      <c r="E546" s="219"/>
      <c r="F546" s="219" t="s">
        <v>131</v>
      </c>
      <c r="G546" s="219" t="s">
        <v>132</v>
      </c>
      <c r="H546" s="219" t="s">
        <v>133</v>
      </c>
    </row>
    <row r="547" spans="1:8" ht="60">
      <c r="A547" s="218"/>
      <c r="B547" s="219"/>
      <c r="C547" s="219" t="s">
        <v>1099</v>
      </c>
      <c r="D547" s="219" t="s">
        <v>1100</v>
      </c>
      <c r="E547" s="39" t="s">
        <v>1101</v>
      </c>
      <c r="F547" s="219">
        <v>2021</v>
      </c>
      <c r="G547" s="219">
        <v>2928642</v>
      </c>
      <c r="H547" s="219"/>
    </row>
    <row r="548" spans="1:8" ht="60">
      <c r="A548" s="218"/>
      <c r="B548" s="219"/>
      <c r="C548" s="219" t="s">
        <v>1102</v>
      </c>
      <c r="D548" s="219" t="s">
        <v>1103</v>
      </c>
      <c r="E548" s="39" t="s">
        <v>1104</v>
      </c>
      <c r="F548" s="219">
        <v>2023</v>
      </c>
      <c r="G548" s="219">
        <v>3571764</v>
      </c>
      <c r="H548" s="219"/>
    </row>
    <row r="549" spans="1:8" ht="75">
      <c r="A549" s="218"/>
      <c r="B549" s="219"/>
      <c r="C549" s="219" t="s">
        <v>1105</v>
      </c>
      <c r="D549" s="219" t="s">
        <v>1106</v>
      </c>
      <c r="E549" s="39" t="s">
        <v>1107</v>
      </c>
      <c r="F549" s="219">
        <v>2020</v>
      </c>
      <c r="G549" s="219">
        <v>2725310</v>
      </c>
      <c r="H549" s="219"/>
    </row>
    <row r="550" spans="1:8" ht="60">
      <c r="A550" s="218"/>
      <c r="B550" s="219"/>
      <c r="C550" s="219" t="s">
        <v>1108</v>
      </c>
      <c r="D550" s="219" t="s">
        <v>1109</v>
      </c>
      <c r="E550" s="39" t="s">
        <v>1110</v>
      </c>
      <c r="F550" s="219">
        <v>2022</v>
      </c>
      <c r="G550" s="219">
        <v>3180335</v>
      </c>
      <c r="H550" s="219"/>
    </row>
    <row r="551" spans="1:8" ht="30">
      <c r="A551" s="48">
        <v>1</v>
      </c>
      <c r="B551" s="48" t="s">
        <v>160</v>
      </c>
      <c r="C551" s="30" t="s">
        <v>1111</v>
      </c>
      <c r="D551" s="30" t="s">
        <v>623</v>
      </c>
      <c r="E551" s="30"/>
      <c r="F551" s="48">
        <v>2014</v>
      </c>
      <c r="G551" s="48">
        <v>1286485</v>
      </c>
      <c r="H551" s="48">
        <v>1</v>
      </c>
    </row>
    <row r="552" spans="1:8" ht="30">
      <c r="A552" s="48">
        <v>2</v>
      </c>
      <c r="B552" s="48" t="s">
        <v>160</v>
      </c>
      <c r="C552" s="30" t="s">
        <v>1112</v>
      </c>
      <c r="D552" s="48" t="s">
        <v>1113</v>
      </c>
      <c r="E552" s="48"/>
      <c r="F552" s="48">
        <v>2012</v>
      </c>
      <c r="G552" s="48">
        <v>438288</v>
      </c>
      <c r="H552" s="48">
        <v>1</v>
      </c>
    </row>
    <row r="553" spans="1:8" ht="30">
      <c r="A553" s="48">
        <v>3</v>
      </c>
      <c r="B553" s="48" t="s">
        <v>160</v>
      </c>
      <c r="C553" s="30" t="s">
        <v>1114</v>
      </c>
      <c r="D553" s="48" t="s">
        <v>1115</v>
      </c>
      <c r="E553" s="48"/>
      <c r="F553" s="48">
        <v>2012</v>
      </c>
      <c r="G553" s="48">
        <v>540892</v>
      </c>
      <c r="H553" s="48">
        <v>1</v>
      </c>
    </row>
    <row r="554" spans="1:8" ht="30">
      <c r="A554" s="48">
        <v>4</v>
      </c>
      <c r="B554" s="48" t="s">
        <v>160</v>
      </c>
      <c r="C554" s="30" t="s">
        <v>1116</v>
      </c>
      <c r="D554" s="30" t="s">
        <v>1117</v>
      </c>
      <c r="E554" s="30"/>
      <c r="F554" s="48">
        <v>2012</v>
      </c>
      <c r="G554" s="48">
        <v>453799</v>
      </c>
      <c r="H554" s="48">
        <v>1</v>
      </c>
    </row>
    <row r="555" spans="1:8" ht="30">
      <c r="A555" s="48">
        <v>5</v>
      </c>
      <c r="B555" s="48" t="s">
        <v>160</v>
      </c>
      <c r="C555" s="30" t="s">
        <v>1118</v>
      </c>
      <c r="D555" s="30" t="s">
        <v>1119</v>
      </c>
      <c r="E555" s="30"/>
      <c r="F555" s="48">
        <v>2017</v>
      </c>
      <c r="G555" s="48">
        <v>1441549</v>
      </c>
      <c r="H555" s="48">
        <v>1</v>
      </c>
    </row>
    <row r="556" spans="1:8">
      <c r="A556" s="96"/>
      <c r="B556" s="96"/>
      <c r="C556" s="82"/>
      <c r="D556" s="96"/>
      <c r="E556" s="96"/>
      <c r="F556" s="96"/>
      <c r="G556" s="96"/>
      <c r="H556" s="96"/>
    </row>
    <row r="557" spans="1:8" ht="15.75">
      <c r="A557" s="169" t="s">
        <v>404</v>
      </c>
      <c r="B557" s="96"/>
      <c r="C557" s="96"/>
      <c r="D557" s="96"/>
      <c r="E557" s="96"/>
      <c r="F557" s="96"/>
      <c r="G557" s="96"/>
      <c r="H557" s="96"/>
    </row>
    <row r="558" spans="1:8" ht="15.75">
      <c r="A558" s="169" t="s">
        <v>641</v>
      </c>
      <c r="B558" s="96"/>
      <c r="C558" s="96"/>
      <c r="D558" s="96"/>
      <c r="E558" s="96"/>
      <c r="F558" s="96"/>
      <c r="G558" s="96"/>
      <c r="H558" s="96"/>
    </row>
    <row r="559" spans="1:8">
      <c r="A559" s="169"/>
      <c r="B559" s="96"/>
      <c r="C559" s="96"/>
      <c r="D559" s="96"/>
      <c r="E559" s="96"/>
      <c r="F559" s="96"/>
      <c r="G559" s="96"/>
      <c r="H559" s="96"/>
    </row>
    <row r="560" spans="1:8" ht="15.75">
      <c r="A560" s="135" t="s">
        <v>1120</v>
      </c>
      <c r="B560" s="136"/>
      <c r="C560" s="136"/>
      <c r="D560" s="136"/>
      <c r="E560" s="136"/>
      <c r="F560" s="136"/>
      <c r="G560" s="136"/>
      <c r="H560" s="136"/>
    </row>
    <row r="561" spans="1:8" ht="31.5">
      <c r="A561" s="218" t="s">
        <v>127</v>
      </c>
      <c r="B561" s="219" t="s">
        <v>128</v>
      </c>
      <c r="C561" s="219" t="s">
        <v>129</v>
      </c>
      <c r="D561" s="219" t="s">
        <v>1</v>
      </c>
      <c r="E561" s="219"/>
      <c r="F561" s="219" t="s">
        <v>131</v>
      </c>
      <c r="G561" s="219" t="s">
        <v>132</v>
      </c>
      <c r="H561" s="219" t="s">
        <v>133</v>
      </c>
    </row>
    <row r="562" spans="1:8" ht="90">
      <c r="A562" s="218"/>
      <c r="B562" s="219"/>
      <c r="C562" s="219" t="s">
        <v>1121</v>
      </c>
      <c r="D562" s="219" t="s">
        <v>1122</v>
      </c>
      <c r="E562" s="39" t="s">
        <v>1123</v>
      </c>
      <c r="F562" s="219">
        <v>2021</v>
      </c>
      <c r="G562" s="219">
        <v>3103944</v>
      </c>
      <c r="H562" s="219"/>
    </row>
    <row r="563" spans="1:8" ht="30">
      <c r="A563" s="48">
        <v>1</v>
      </c>
      <c r="B563" s="48" t="s">
        <v>160</v>
      </c>
      <c r="C563" s="30" t="s">
        <v>1124</v>
      </c>
      <c r="D563" s="30" t="s">
        <v>1125</v>
      </c>
      <c r="E563" s="30"/>
      <c r="F563" s="48">
        <v>2015</v>
      </c>
      <c r="G563" s="48">
        <v>943463</v>
      </c>
      <c r="H563" s="48">
        <v>1</v>
      </c>
    </row>
    <row r="564" spans="1:8" ht="30">
      <c r="A564" s="48">
        <v>2</v>
      </c>
      <c r="B564" s="48" t="s">
        <v>160</v>
      </c>
      <c r="C564" s="30" t="s">
        <v>1126</v>
      </c>
      <c r="D564" s="30" t="s">
        <v>1127</v>
      </c>
      <c r="E564" s="30"/>
      <c r="F564" s="48">
        <v>2015</v>
      </c>
      <c r="G564" s="30" t="s">
        <v>1128</v>
      </c>
      <c r="H564" s="48">
        <v>1</v>
      </c>
    </row>
    <row r="565" spans="1:8" ht="30">
      <c r="A565" s="48">
        <v>3</v>
      </c>
      <c r="B565" s="48" t="s">
        <v>160</v>
      </c>
      <c r="C565" s="30" t="s">
        <v>1129</v>
      </c>
      <c r="D565" s="30" t="s">
        <v>1130</v>
      </c>
      <c r="E565" s="30"/>
      <c r="F565" s="48">
        <v>2012</v>
      </c>
      <c r="G565" s="48">
        <v>540211</v>
      </c>
      <c r="H565" s="48">
        <v>1</v>
      </c>
    </row>
    <row r="566" spans="1:8" ht="30">
      <c r="A566" s="48">
        <v>4</v>
      </c>
      <c r="B566" s="48" t="s">
        <v>160</v>
      </c>
      <c r="C566" s="30" t="s">
        <v>1131</v>
      </c>
      <c r="D566" s="30" t="s">
        <v>1132</v>
      </c>
      <c r="E566" s="30"/>
      <c r="F566" s="48">
        <v>2012</v>
      </c>
      <c r="G566" s="48">
        <v>541052</v>
      </c>
      <c r="H566" s="48">
        <v>1</v>
      </c>
    </row>
    <row r="567" spans="1:8" ht="30">
      <c r="A567" s="48">
        <v>5</v>
      </c>
      <c r="B567" s="48" t="s">
        <v>160</v>
      </c>
      <c r="C567" s="30" t="s">
        <v>1133</v>
      </c>
      <c r="D567" s="30" t="s">
        <v>1134</v>
      </c>
      <c r="E567" s="30"/>
      <c r="F567" s="48">
        <v>2012</v>
      </c>
      <c r="G567" s="48">
        <v>490199</v>
      </c>
      <c r="H567" s="48">
        <v>1</v>
      </c>
    </row>
    <row r="568" spans="1:8" ht="30">
      <c r="A568" s="48">
        <v>6</v>
      </c>
      <c r="B568" s="48" t="s">
        <v>160</v>
      </c>
      <c r="C568" s="30" t="s">
        <v>1135</v>
      </c>
      <c r="D568" s="30" t="s">
        <v>1136</v>
      </c>
      <c r="E568" s="30"/>
      <c r="F568" s="48">
        <v>2013</v>
      </c>
      <c r="G568" s="48">
        <v>664054</v>
      </c>
      <c r="H568" s="48">
        <v>1</v>
      </c>
    </row>
    <row r="569" spans="1:8">
      <c r="A569" s="96"/>
      <c r="B569" s="96"/>
      <c r="C569" s="82"/>
      <c r="D569" s="82"/>
      <c r="E569" s="82"/>
      <c r="F569" s="96"/>
      <c r="G569" s="96"/>
      <c r="H569" s="96"/>
    </row>
    <row r="570" spans="1:8" ht="15.75">
      <c r="A570" s="169" t="s">
        <v>662</v>
      </c>
      <c r="B570" s="96"/>
      <c r="C570" s="82"/>
      <c r="D570" s="82"/>
      <c r="E570" s="82"/>
      <c r="F570" s="96"/>
      <c r="G570" s="96"/>
      <c r="H570" s="96"/>
    </row>
    <row r="571" spans="1:8" ht="15.75">
      <c r="A571" s="169" t="s">
        <v>1137</v>
      </c>
      <c r="B571" s="96"/>
      <c r="C571" s="96"/>
      <c r="D571" s="96"/>
      <c r="E571" s="96"/>
      <c r="F571" s="96"/>
      <c r="G571" s="96"/>
      <c r="H571" s="96"/>
    </row>
    <row r="572" spans="1:8">
      <c r="A572" s="96"/>
      <c r="B572" s="96"/>
      <c r="C572" s="96"/>
      <c r="D572" s="96"/>
      <c r="E572" s="96"/>
      <c r="F572" s="96"/>
      <c r="G572" s="96"/>
      <c r="H572" s="96"/>
    </row>
    <row r="573" spans="1:8" ht="15.75">
      <c r="A573" s="135" t="s">
        <v>1138</v>
      </c>
      <c r="B573" s="136"/>
      <c r="C573" s="136"/>
      <c r="D573" s="136"/>
      <c r="E573" s="136"/>
      <c r="F573" s="136"/>
      <c r="G573" s="136"/>
      <c r="H573" s="136"/>
    </row>
    <row r="574" spans="1:8" ht="31.5">
      <c r="A574" s="218" t="s">
        <v>127</v>
      </c>
      <c r="B574" s="219" t="s">
        <v>128</v>
      </c>
      <c r="C574" s="219" t="s">
        <v>129</v>
      </c>
      <c r="D574" s="219" t="s">
        <v>1</v>
      </c>
      <c r="E574" s="219"/>
      <c r="F574" s="219" t="s">
        <v>131</v>
      </c>
      <c r="G574" s="219" t="s">
        <v>132</v>
      </c>
      <c r="H574" s="219" t="s">
        <v>133</v>
      </c>
    </row>
    <row r="575" spans="1:8" ht="30">
      <c r="A575" s="48">
        <v>1</v>
      </c>
      <c r="B575" s="48" t="s">
        <v>160</v>
      </c>
      <c r="C575" s="48" t="s">
        <v>1139</v>
      </c>
      <c r="D575" s="220" t="s">
        <v>1140</v>
      </c>
      <c r="E575" s="220"/>
      <c r="F575" s="48">
        <v>2015</v>
      </c>
      <c r="G575" s="48">
        <v>1466846</v>
      </c>
      <c r="H575" s="48">
        <v>1</v>
      </c>
    </row>
    <row r="576" spans="1:8" ht="30">
      <c r="A576" s="48">
        <v>2</v>
      </c>
      <c r="B576" s="48" t="s">
        <v>160</v>
      </c>
      <c r="C576" s="30" t="s">
        <v>1141</v>
      </c>
      <c r="D576" s="48" t="s">
        <v>1142</v>
      </c>
      <c r="E576" s="48"/>
      <c r="F576" s="48">
        <v>2014</v>
      </c>
      <c r="G576" s="48">
        <v>904320</v>
      </c>
      <c r="H576" s="48">
        <v>1</v>
      </c>
    </row>
    <row r="577" spans="1:8">
      <c r="A577" s="48">
        <v>3</v>
      </c>
      <c r="B577" s="48" t="s">
        <v>160</v>
      </c>
      <c r="C577" s="30" t="s">
        <v>1143</v>
      </c>
      <c r="D577" s="30" t="s">
        <v>1144</v>
      </c>
      <c r="E577" s="30"/>
      <c r="F577" s="48">
        <v>2013</v>
      </c>
      <c r="G577" s="48">
        <v>632859</v>
      </c>
      <c r="H577" s="48">
        <v>1</v>
      </c>
    </row>
    <row r="578" spans="1:8">
      <c r="A578" s="96"/>
      <c r="B578" s="96"/>
      <c r="C578" s="82"/>
      <c r="D578" s="96"/>
      <c r="E578" s="96"/>
      <c r="F578" s="96"/>
      <c r="G578" s="96"/>
      <c r="H578" s="96"/>
    </row>
    <row r="579" spans="1:8" ht="15.75">
      <c r="A579" s="169" t="s">
        <v>624</v>
      </c>
      <c r="B579" s="96"/>
      <c r="C579" s="82"/>
      <c r="D579" s="96"/>
      <c r="E579" s="96"/>
      <c r="F579" s="96"/>
      <c r="G579" s="96"/>
      <c r="H579" s="96"/>
    </row>
    <row r="580" spans="1:8" ht="15.75">
      <c r="A580" s="169" t="s">
        <v>625</v>
      </c>
      <c r="B580" s="96"/>
      <c r="C580" s="82"/>
      <c r="D580" s="96"/>
      <c r="E580" s="96"/>
      <c r="F580" s="96"/>
      <c r="G580" s="96"/>
      <c r="H580" s="96"/>
    </row>
    <row r="581" spans="1:8">
      <c r="A581" s="96"/>
      <c r="B581" s="96"/>
      <c r="C581" s="96"/>
      <c r="D581" s="96"/>
      <c r="E581" s="96"/>
      <c r="F581" s="96"/>
      <c r="G581" s="96"/>
      <c r="H581" s="96"/>
    </row>
    <row r="582" spans="1:8" ht="15.75">
      <c r="A582" s="135" t="s">
        <v>1145</v>
      </c>
      <c r="B582" s="136"/>
      <c r="C582" s="136"/>
      <c r="D582" s="136"/>
      <c r="E582" s="136"/>
      <c r="F582" s="136"/>
      <c r="G582" s="136"/>
      <c r="H582" s="136"/>
    </row>
    <row r="583" spans="1:8" ht="31.5">
      <c r="A583" s="218" t="s">
        <v>127</v>
      </c>
      <c r="B583" s="219" t="s">
        <v>128</v>
      </c>
      <c r="C583" s="219" t="s">
        <v>129</v>
      </c>
      <c r="D583" s="219" t="s">
        <v>1</v>
      </c>
      <c r="E583" s="219"/>
      <c r="F583" s="219" t="s">
        <v>131</v>
      </c>
      <c r="G583" s="219" t="s">
        <v>132</v>
      </c>
      <c r="H583" s="219" t="s">
        <v>133</v>
      </c>
    </row>
    <row r="584" spans="1:8" ht="45">
      <c r="A584" s="48">
        <v>1</v>
      </c>
      <c r="B584" s="48" t="s">
        <v>160</v>
      </c>
      <c r="C584" s="30" t="s">
        <v>1146</v>
      </c>
      <c r="D584" s="30" t="s">
        <v>1147</v>
      </c>
      <c r="E584" s="30"/>
      <c r="F584" s="30">
        <v>2012</v>
      </c>
      <c r="G584" s="30">
        <v>475907</v>
      </c>
      <c r="H584" s="30">
        <v>1</v>
      </c>
    </row>
    <row r="585" spans="1:8" ht="30">
      <c r="A585" s="218">
        <v>2</v>
      </c>
      <c r="B585" s="48" t="s">
        <v>160</v>
      </c>
      <c r="C585" s="30" t="s">
        <v>1148</v>
      </c>
      <c r="D585" s="30" t="s">
        <v>607</v>
      </c>
      <c r="E585" s="30"/>
      <c r="F585" s="30">
        <v>2014</v>
      </c>
      <c r="G585" s="30">
        <v>754880</v>
      </c>
      <c r="H585" s="30">
        <v>1</v>
      </c>
    </row>
    <row r="586" spans="1:8" ht="15.75">
      <c r="A586" s="163"/>
      <c r="B586" s="164"/>
      <c r="C586" s="164"/>
      <c r="D586" s="164"/>
      <c r="E586" s="164"/>
      <c r="F586" s="164"/>
      <c r="G586" s="164"/>
      <c r="H586" s="164"/>
    </row>
    <row r="587" spans="1:8" ht="15.75">
      <c r="A587" s="169" t="s">
        <v>610</v>
      </c>
      <c r="B587" s="164"/>
      <c r="C587" s="164"/>
      <c r="D587" s="164"/>
      <c r="E587" s="164"/>
      <c r="F587" s="164"/>
      <c r="G587" s="164"/>
      <c r="H587" s="164"/>
    </row>
    <row r="588" spans="1:8" ht="15.75">
      <c r="A588" s="169" t="s">
        <v>611</v>
      </c>
      <c r="B588" s="164"/>
      <c r="C588" s="164"/>
      <c r="D588" s="164"/>
      <c r="E588" s="164"/>
      <c r="F588" s="164"/>
      <c r="G588" s="164"/>
      <c r="H588" s="164"/>
    </row>
    <row r="589" spans="1:8">
      <c r="A589" s="96"/>
      <c r="B589" s="96"/>
      <c r="C589" s="96"/>
      <c r="D589" s="96"/>
      <c r="E589" s="96"/>
      <c r="F589" s="96"/>
      <c r="G589" s="96"/>
      <c r="H589" s="96"/>
    </row>
    <row r="590" spans="1:8" ht="15.75">
      <c r="A590" s="135" t="s">
        <v>1149</v>
      </c>
      <c r="B590" s="136"/>
      <c r="C590" s="136"/>
      <c r="D590" s="136"/>
      <c r="E590" s="136"/>
      <c r="F590" s="136"/>
      <c r="G590" s="136"/>
      <c r="H590" s="136"/>
    </row>
    <row r="591" spans="1:8" ht="31.5">
      <c r="A591" s="218" t="s">
        <v>127</v>
      </c>
      <c r="B591" s="219" t="s">
        <v>128</v>
      </c>
      <c r="C591" s="219" t="s">
        <v>129</v>
      </c>
      <c r="D591" s="219" t="s">
        <v>1</v>
      </c>
      <c r="E591" s="219"/>
      <c r="F591" s="219" t="s">
        <v>131</v>
      </c>
      <c r="G591" s="219" t="s">
        <v>132</v>
      </c>
      <c r="H591" s="219" t="s">
        <v>133</v>
      </c>
    </row>
    <row r="592" spans="1:8">
      <c r="A592" s="96"/>
      <c r="B592" s="96"/>
      <c r="C592" s="96"/>
      <c r="D592" s="96"/>
      <c r="E592" s="96"/>
      <c r="F592" s="96"/>
      <c r="G592" s="96"/>
      <c r="H592" s="96"/>
    </row>
    <row r="593" spans="1:9" ht="15.75">
      <c r="A593" s="135" t="s">
        <v>1150</v>
      </c>
      <c r="B593" s="136"/>
      <c r="C593" s="136"/>
      <c r="D593" s="136"/>
      <c r="E593" s="136"/>
      <c r="F593" s="136"/>
      <c r="G593" s="136"/>
      <c r="H593" s="136"/>
    </row>
    <row r="594" spans="1:9" ht="15.75">
      <c r="A594" s="135" t="s">
        <v>1151</v>
      </c>
      <c r="B594" s="136"/>
      <c r="C594" s="136"/>
      <c r="D594" s="136"/>
      <c r="E594" s="136"/>
      <c r="F594" s="136"/>
      <c r="G594" s="136"/>
      <c r="H594" s="136"/>
      <c r="I594" s="136"/>
    </row>
    <row r="595" spans="1:9" ht="31.5">
      <c r="A595" s="221" t="s">
        <v>127</v>
      </c>
      <c r="B595" s="222" t="s">
        <v>128</v>
      </c>
      <c r="C595" s="222" t="s">
        <v>129</v>
      </c>
      <c r="D595" s="222" t="s">
        <v>1</v>
      </c>
      <c r="E595" s="222"/>
      <c r="F595" s="222" t="s">
        <v>131</v>
      </c>
      <c r="G595" s="222" t="s">
        <v>132</v>
      </c>
      <c r="H595" s="222" t="s">
        <v>133</v>
      </c>
    </row>
    <row r="596" spans="1:9" ht="60">
      <c r="A596" s="221"/>
      <c r="B596" s="222"/>
      <c r="C596" s="222" t="s">
        <v>1152</v>
      </c>
      <c r="D596" s="222" t="s">
        <v>1153</v>
      </c>
      <c r="E596" s="154" t="s">
        <v>1154</v>
      </c>
      <c r="F596" s="222">
        <v>2021</v>
      </c>
      <c r="G596" s="222">
        <v>2695876</v>
      </c>
      <c r="H596" s="222"/>
    </row>
    <row r="597" spans="1:9" ht="60">
      <c r="A597" s="221"/>
      <c r="B597" s="222"/>
      <c r="C597" s="222" t="s">
        <v>1155</v>
      </c>
      <c r="D597" s="222" t="s">
        <v>1156</v>
      </c>
      <c r="E597" s="154" t="s">
        <v>1157</v>
      </c>
      <c r="F597" s="222">
        <v>2023</v>
      </c>
      <c r="G597" s="222">
        <v>3540515</v>
      </c>
      <c r="H597" s="222"/>
    </row>
    <row r="598" spans="1:9" ht="90">
      <c r="A598" s="221"/>
      <c r="B598" s="222"/>
      <c r="C598" s="222" t="s">
        <v>1158</v>
      </c>
      <c r="D598" s="222" t="s">
        <v>1159</v>
      </c>
      <c r="E598" s="154" t="s">
        <v>1160</v>
      </c>
      <c r="F598" s="222">
        <v>2020</v>
      </c>
      <c r="G598" s="222">
        <v>2395769</v>
      </c>
      <c r="H598" s="222"/>
    </row>
    <row r="599" spans="1:9" ht="105">
      <c r="A599" s="221"/>
      <c r="B599" s="222"/>
      <c r="C599" s="222" t="s">
        <v>1161</v>
      </c>
      <c r="D599" s="222" t="s">
        <v>1162</v>
      </c>
      <c r="E599" s="154" t="s">
        <v>1163</v>
      </c>
      <c r="F599" s="222">
        <v>2021</v>
      </c>
      <c r="G599" s="222">
        <v>2700380</v>
      </c>
      <c r="H599" s="222"/>
    </row>
    <row r="600" spans="1:9" ht="15.75">
      <c r="A600" s="163"/>
      <c r="B600" s="164"/>
      <c r="C600" s="164"/>
      <c r="D600" s="164"/>
      <c r="E600" s="164"/>
      <c r="F600" s="164"/>
      <c r="G600" s="164"/>
      <c r="H600" s="164"/>
    </row>
    <row r="601" spans="1:9" ht="15.75">
      <c r="A601" s="163"/>
      <c r="B601" s="164"/>
      <c r="C601" s="164"/>
      <c r="D601" s="164"/>
      <c r="E601" s="164"/>
      <c r="F601" s="164"/>
      <c r="G601" s="164"/>
      <c r="H601" s="164"/>
    </row>
    <row r="602" spans="1:9">
      <c r="A602" s="169"/>
      <c r="B602" s="96"/>
      <c r="C602" s="96"/>
      <c r="D602" s="96"/>
      <c r="E602" s="96"/>
      <c r="F602" s="96"/>
      <c r="G602" s="96"/>
      <c r="H602" s="96"/>
    </row>
    <row r="603" spans="1:9" ht="15.75">
      <c r="A603" s="135" t="s">
        <v>1164</v>
      </c>
      <c r="B603" s="135"/>
      <c r="C603" s="135"/>
      <c r="D603" s="135"/>
      <c r="E603" s="135"/>
      <c r="F603" s="135"/>
      <c r="G603" s="135"/>
      <c r="H603" s="135"/>
    </row>
    <row r="604" spans="1:9" ht="31.5">
      <c r="A604" s="218" t="s">
        <v>127</v>
      </c>
      <c r="B604" s="219" t="s">
        <v>128</v>
      </c>
      <c r="C604" s="219" t="s">
        <v>129</v>
      </c>
      <c r="D604" s="219" t="s">
        <v>1</v>
      </c>
      <c r="E604" s="219"/>
      <c r="F604" s="219" t="s">
        <v>131</v>
      </c>
      <c r="G604" s="219" t="s">
        <v>132</v>
      </c>
      <c r="H604" s="219" t="s">
        <v>133</v>
      </c>
    </row>
    <row r="605" spans="1:9" ht="60">
      <c r="A605" s="218"/>
      <c r="B605" s="219"/>
      <c r="C605" s="219" t="s">
        <v>1165</v>
      </c>
      <c r="D605" s="219" t="s">
        <v>1166</v>
      </c>
      <c r="E605" s="39" t="s">
        <v>1167</v>
      </c>
      <c r="F605" s="219">
        <v>2021</v>
      </c>
      <c r="G605" s="219">
        <v>2395820</v>
      </c>
      <c r="H605" s="219"/>
    </row>
    <row r="606" spans="1:9" ht="60">
      <c r="A606" s="218"/>
      <c r="B606" s="219"/>
      <c r="C606" s="219" t="s">
        <v>1165</v>
      </c>
      <c r="D606" s="219" t="s">
        <v>1168</v>
      </c>
      <c r="E606" s="39" t="s">
        <v>1169</v>
      </c>
      <c r="F606" s="219">
        <v>2021</v>
      </c>
      <c r="G606" s="219">
        <v>2395815</v>
      </c>
      <c r="H606" s="219"/>
    </row>
    <row r="607" spans="1:9">
      <c r="A607" s="48">
        <v>1</v>
      </c>
      <c r="B607" s="48" t="s">
        <v>160</v>
      </c>
      <c r="C607" s="48" t="s">
        <v>1170</v>
      </c>
      <c r="D607" s="48" t="s">
        <v>1171</v>
      </c>
      <c r="E607" s="48"/>
      <c r="F607" s="48">
        <v>2018</v>
      </c>
      <c r="G607" s="48">
        <v>1934708</v>
      </c>
      <c r="H607" s="48">
        <v>1</v>
      </c>
    </row>
    <row r="608" spans="1:9" ht="32.25" customHeight="1">
      <c r="A608" s="48">
        <v>2</v>
      </c>
      <c r="B608" s="48" t="s">
        <v>160</v>
      </c>
      <c r="C608" s="30" t="s">
        <v>1172</v>
      </c>
      <c r="D608" s="30" t="s">
        <v>1173</v>
      </c>
      <c r="E608" s="30"/>
      <c r="F608" s="48">
        <v>2017</v>
      </c>
      <c r="G608" s="48">
        <v>1934714</v>
      </c>
      <c r="H608" s="48">
        <v>1</v>
      </c>
    </row>
    <row r="609" spans="1:8" ht="30">
      <c r="A609" s="48">
        <v>3</v>
      </c>
      <c r="B609" s="48" t="s">
        <v>160</v>
      </c>
      <c r="C609" s="30" t="s">
        <v>1174</v>
      </c>
      <c r="D609" s="48" t="s">
        <v>1175</v>
      </c>
      <c r="E609" s="48"/>
      <c r="F609" s="48">
        <v>2020</v>
      </c>
      <c r="G609" s="48">
        <v>2324370</v>
      </c>
      <c r="H609" s="48">
        <v>1</v>
      </c>
    </row>
    <row r="610" spans="1:8" ht="30">
      <c r="A610" s="48">
        <v>4</v>
      </c>
      <c r="B610" s="48" t="s">
        <v>160</v>
      </c>
      <c r="C610" s="30" t="s">
        <v>1176</v>
      </c>
      <c r="D610" s="30" t="s">
        <v>1177</v>
      </c>
      <c r="E610" s="30"/>
      <c r="F610" s="48">
        <v>2013</v>
      </c>
      <c r="G610" s="30" t="s">
        <v>1178</v>
      </c>
      <c r="H610" s="48">
        <v>1</v>
      </c>
    </row>
    <row r="611" spans="1:8" ht="45">
      <c r="A611" s="48">
        <v>5</v>
      </c>
      <c r="B611" s="48" t="s">
        <v>160</v>
      </c>
      <c r="C611" s="30" t="s">
        <v>1179</v>
      </c>
      <c r="D611" s="30" t="s">
        <v>1180</v>
      </c>
      <c r="E611" s="30"/>
      <c r="F611" s="48">
        <v>2013</v>
      </c>
      <c r="G611" s="48">
        <v>664051</v>
      </c>
      <c r="H611" s="48">
        <v>1</v>
      </c>
    </row>
    <row r="612" spans="1:8" ht="30">
      <c r="A612" s="48">
        <v>6</v>
      </c>
      <c r="B612" s="48" t="s">
        <v>160</v>
      </c>
      <c r="C612" s="30" t="s">
        <v>1181</v>
      </c>
      <c r="D612" s="30" t="s">
        <v>1182</v>
      </c>
      <c r="E612" s="30"/>
      <c r="F612" s="48">
        <v>2012</v>
      </c>
      <c r="G612" s="48">
        <v>541960</v>
      </c>
      <c r="H612" s="48">
        <v>1</v>
      </c>
    </row>
    <row r="613" spans="1:8">
      <c r="A613" s="96"/>
      <c r="B613" s="96"/>
      <c r="C613" s="96"/>
      <c r="D613" s="96"/>
      <c r="E613" s="96"/>
      <c r="F613" s="96"/>
      <c r="G613" s="96"/>
      <c r="H613" s="96"/>
    </row>
    <row r="614" spans="1:8" ht="15.75">
      <c r="A614" s="169" t="s">
        <v>404</v>
      </c>
      <c r="B614" s="96"/>
      <c r="C614" s="96"/>
      <c r="D614" s="96"/>
      <c r="E614" s="96"/>
      <c r="F614" s="96"/>
      <c r="G614" s="96"/>
      <c r="H614" s="96"/>
    </row>
    <row r="615" spans="1:8" ht="15.75">
      <c r="A615" s="169" t="s">
        <v>1183</v>
      </c>
      <c r="B615" s="96"/>
      <c r="C615" s="96"/>
      <c r="D615" s="96"/>
      <c r="E615" s="96"/>
      <c r="F615" s="96"/>
      <c r="G615" s="96"/>
      <c r="H615" s="96"/>
    </row>
    <row r="616" spans="1:8">
      <c r="A616" s="169"/>
      <c r="B616" s="96"/>
      <c r="C616" s="96"/>
      <c r="D616" s="96"/>
      <c r="E616" s="96"/>
      <c r="F616" s="96"/>
      <c r="G616" s="96"/>
      <c r="H616" s="96"/>
    </row>
    <row r="617" spans="1:8" ht="15.75">
      <c r="A617" s="135" t="s">
        <v>1184</v>
      </c>
      <c r="B617" s="135"/>
      <c r="C617" s="135"/>
      <c r="D617" s="135"/>
      <c r="E617" s="135"/>
      <c r="F617" s="135"/>
      <c r="G617" s="135"/>
      <c r="H617" s="135"/>
    </row>
    <row r="618" spans="1:8" ht="31.5">
      <c r="A618" s="218" t="s">
        <v>127</v>
      </c>
      <c r="B618" s="219" t="s">
        <v>128</v>
      </c>
      <c r="C618" s="219" t="s">
        <v>129</v>
      </c>
      <c r="D618" s="219" t="s">
        <v>1</v>
      </c>
      <c r="E618" s="219"/>
      <c r="F618" s="219" t="s">
        <v>131</v>
      </c>
      <c r="G618" s="219" t="s">
        <v>132</v>
      </c>
      <c r="H618" s="219" t="s">
        <v>133</v>
      </c>
    </row>
    <row r="619" spans="1:8" ht="75">
      <c r="A619" s="218"/>
      <c r="B619" s="219"/>
      <c r="C619" s="219" t="s">
        <v>1185</v>
      </c>
      <c r="D619" s="219" t="s">
        <v>1186</v>
      </c>
      <c r="E619" s="39" t="s">
        <v>1187</v>
      </c>
      <c r="F619" s="219">
        <v>2020</v>
      </c>
      <c r="G619" s="219">
        <v>2631582</v>
      </c>
      <c r="H619" s="219"/>
    </row>
    <row r="620" spans="1:8" ht="60">
      <c r="A620" s="218"/>
      <c r="B620" s="219"/>
      <c r="C620" s="219" t="s">
        <v>1188</v>
      </c>
      <c r="D620" s="219" t="s">
        <v>1189</v>
      </c>
      <c r="E620" s="39" t="s">
        <v>1190</v>
      </c>
      <c r="F620" s="219">
        <v>2021</v>
      </c>
      <c r="G620" s="219">
        <v>2721674</v>
      </c>
      <c r="H620" s="219"/>
    </row>
    <row r="621" spans="1:8" ht="75">
      <c r="A621" s="218"/>
      <c r="B621" s="219"/>
      <c r="C621" s="219" t="s">
        <v>1191</v>
      </c>
      <c r="D621" s="219" t="s">
        <v>1192</v>
      </c>
      <c r="E621" s="39" t="s">
        <v>1193</v>
      </c>
      <c r="F621" s="219">
        <v>2020</v>
      </c>
      <c r="G621" s="219">
        <v>2523515</v>
      </c>
      <c r="H621" s="219"/>
    </row>
    <row r="622" spans="1:8" ht="75">
      <c r="A622" s="218"/>
      <c r="B622" s="219"/>
      <c r="C622" s="219" t="s">
        <v>1194</v>
      </c>
      <c r="D622" s="219" t="s">
        <v>1195</v>
      </c>
      <c r="E622" s="39" t="s">
        <v>1196</v>
      </c>
      <c r="F622" s="219">
        <v>2020</v>
      </c>
      <c r="G622" s="219">
        <v>2877811</v>
      </c>
      <c r="H622" s="219"/>
    </row>
    <row r="623" spans="1:8" ht="30">
      <c r="A623" s="48">
        <v>1</v>
      </c>
      <c r="B623" s="48" t="s">
        <v>160</v>
      </c>
      <c r="C623" s="48" t="s">
        <v>1197</v>
      </c>
      <c r="D623" s="30" t="s">
        <v>1198</v>
      </c>
      <c r="E623" s="30"/>
      <c r="F623" s="48">
        <v>2013</v>
      </c>
      <c r="G623" s="48">
        <v>611450</v>
      </c>
      <c r="H623" s="48">
        <v>1</v>
      </c>
    </row>
    <row r="624" spans="1:8" ht="30">
      <c r="A624" s="48">
        <v>2</v>
      </c>
      <c r="B624" s="48" t="s">
        <v>160</v>
      </c>
      <c r="C624" s="48" t="s">
        <v>1199</v>
      </c>
      <c r="D624" s="30" t="s">
        <v>1200</v>
      </c>
      <c r="E624" s="30"/>
      <c r="F624" s="48">
        <v>2013</v>
      </c>
      <c r="G624" s="48">
        <v>664053</v>
      </c>
      <c r="H624" s="48">
        <v>1</v>
      </c>
    </row>
    <row r="625" spans="1:8" ht="30">
      <c r="A625" s="48">
        <v>3</v>
      </c>
      <c r="B625" s="48" t="s">
        <v>160</v>
      </c>
      <c r="C625" s="30" t="s">
        <v>1201</v>
      </c>
      <c r="D625" s="30" t="s">
        <v>1202</v>
      </c>
      <c r="E625" s="30"/>
      <c r="F625" s="48">
        <v>2013</v>
      </c>
      <c r="G625" s="30">
        <v>643359</v>
      </c>
      <c r="H625" s="48">
        <v>1</v>
      </c>
    </row>
    <row r="626" spans="1:8" ht="45">
      <c r="A626" s="48">
        <v>4</v>
      </c>
      <c r="B626" s="48" t="s">
        <v>160</v>
      </c>
      <c r="C626" s="48" t="s">
        <v>1048</v>
      </c>
      <c r="D626" s="30" t="s">
        <v>1049</v>
      </c>
      <c r="E626" s="30"/>
      <c r="F626" s="48">
        <v>2017</v>
      </c>
      <c r="G626" s="51">
        <v>1587970</v>
      </c>
      <c r="H626" s="48">
        <v>1</v>
      </c>
    </row>
    <row r="627" spans="1:8">
      <c r="A627" s="96"/>
      <c r="B627" s="96"/>
      <c r="C627" s="96"/>
      <c r="D627" s="82"/>
      <c r="E627" s="82"/>
      <c r="F627" s="96"/>
      <c r="G627" s="96"/>
      <c r="H627" s="96"/>
    </row>
    <row r="628" spans="1:8" ht="15.75">
      <c r="A628" s="169" t="s">
        <v>1203</v>
      </c>
      <c r="B628" s="96"/>
      <c r="C628" s="96"/>
      <c r="D628" s="82"/>
      <c r="E628" s="82"/>
      <c r="F628" s="96"/>
      <c r="G628" s="96"/>
      <c r="H628" s="96"/>
    </row>
    <row r="629" spans="1:8" ht="15.75">
      <c r="A629" s="169" t="s">
        <v>596</v>
      </c>
      <c r="B629" s="96"/>
      <c r="C629" s="96"/>
      <c r="D629" s="82"/>
      <c r="E629" s="82"/>
      <c r="F629" s="96"/>
      <c r="G629" s="96"/>
      <c r="H629" s="96"/>
    </row>
    <row r="630" spans="1:8">
      <c r="A630" s="96"/>
      <c r="B630" s="96"/>
      <c r="C630" s="96"/>
      <c r="D630" s="96"/>
      <c r="E630" s="96"/>
      <c r="F630" s="96"/>
      <c r="G630" s="96"/>
      <c r="H630" s="96"/>
    </row>
    <row r="631" spans="1:8" ht="15.75">
      <c r="A631" s="135" t="s">
        <v>1204</v>
      </c>
      <c r="B631" s="136"/>
      <c r="C631" s="136"/>
      <c r="D631" s="136"/>
      <c r="E631" s="136"/>
      <c r="F631" s="136"/>
      <c r="G631" s="136"/>
      <c r="H631" s="136"/>
    </row>
    <row r="632" spans="1:8" ht="31.5">
      <c r="A632" s="218" t="s">
        <v>127</v>
      </c>
      <c r="B632" s="219" t="s">
        <v>128</v>
      </c>
      <c r="C632" s="219" t="s">
        <v>129</v>
      </c>
      <c r="D632" s="219" t="s">
        <v>1</v>
      </c>
      <c r="E632" s="219"/>
      <c r="F632" s="219" t="s">
        <v>131</v>
      </c>
      <c r="G632" s="219" t="s">
        <v>132</v>
      </c>
      <c r="H632" s="219" t="s">
        <v>133</v>
      </c>
    </row>
    <row r="633" spans="1:8" ht="60">
      <c r="A633" s="218"/>
      <c r="B633" s="219"/>
      <c r="C633" s="219" t="s">
        <v>600</v>
      </c>
      <c r="D633" s="219" t="s">
        <v>601</v>
      </c>
      <c r="E633" s="39" t="s">
        <v>1205</v>
      </c>
      <c r="F633" s="219">
        <v>2020</v>
      </c>
      <c r="G633" s="219">
        <v>1103145</v>
      </c>
      <c r="H633" s="219"/>
    </row>
    <row r="634" spans="1:8" ht="60">
      <c r="A634" s="218"/>
      <c r="B634" s="219"/>
      <c r="C634" s="219" t="s">
        <v>1206</v>
      </c>
      <c r="D634" s="219" t="s">
        <v>1207</v>
      </c>
      <c r="E634" s="39" t="s">
        <v>1208</v>
      </c>
      <c r="F634" s="219">
        <v>2020</v>
      </c>
      <c r="G634" s="219">
        <v>1103144</v>
      </c>
      <c r="H634" s="219"/>
    </row>
    <row r="635" spans="1:8" ht="30">
      <c r="A635" s="218"/>
      <c r="B635" s="219"/>
      <c r="C635" s="30" t="s">
        <v>1209</v>
      </c>
      <c r="D635" s="30" t="s">
        <v>1210</v>
      </c>
      <c r="E635" s="30"/>
      <c r="F635" s="30">
        <v>2015</v>
      </c>
      <c r="G635" s="30">
        <v>2006510</v>
      </c>
      <c r="H635" s="30">
        <v>1</v>
      </c>
    </row>
    <row r="636" spans="1:8" ht="15.75">
      <c r="A636" s="163"/>
      <c r="B636" s="164"/>
      <c r="C636" s="164"/>
      <c r="D636" s="164"/>
      <c r="E636" s="164"/>
      <c r="F636" s="164"/>
      <c r="G636" s="164"/>
      <c r="H636" s="164"/>
    </row>
    <row r="637" spans="1:8" ht="15.75">
      <c r="A637" s="169" t="s">
        <v>1211</v>
      </c>
      <c r="B637" s="164"/>
      <c r="C637" s="164"/>
      <c r="D637" s="164"/>
      <c r="E637" s="164"/>
      <c r="F637" s="164"/>
      <c r="G637" s="164"/>
      <c r="H637" s="164"/>
    </row>
    <row r="638" spans="1:8" ht="15.75">
      <c r="A638" s="169" t="s">
        <v>1212</v>
      </c>
      <c r="B638" s="164"/>
      <c r="C638" s="164"/>
      <c r="D638" s="164"/>
      <c r="E638" s="164"/>
      <c r="F638" s="164"/>
      <c r="G638" s="164"/>
      <c r="H638" s="164"/>
    </row>
    <row r="639" spans="1:8">
      <c r="A639" s="96"/>
      <c r="B639" s="96"/>
      <c r="C639" s="96"/>
      <c r="D639" s="96"/>
      <c r="E639" s="96"/>
      <c r="F639" s="96"/>
      <c r="G639" s="96"/>
      <c r="H639" s="96"/>
    </row>
    <row r="640" spans="1:8" ht="15.75">
      <c r="A640" s="135" t="s">
        <v>1213</v>
      </c>
      <c r="B640" s="136"/>
      <c r="C640" s="136"/>
      <c r="D640" s="136"/>
      <c r="E640" s="136"/>
      <c r="F640" s="136"/>
      <c r="G640" s="136"/>
      <c r="H640" s="136"/>
    </row>
    <row r="641" spans="1:8" ht="31.5">
      <c r="A641" s="218" t="s">
        <v>127</v>
      </c>
      <c r="B641" s="219" t="s">
        <v>128</v>
      </c>
      <c r="C641" s="219" t="s">
        <v>129</v>
      </c>
      <c r="D641" s="219" t="s">
        <v>1</v>
      </c>
      <c r="E641" s="219"/>
      <c r="F641" s="219" t="s">
        <v>131</v>
      </c>
      <c r="G641" s="219" t="s">
        <v>132</v>
      </c>
      <c r="H641" s="219" t="s">
        <v>133</v>
      </c>
    </row>
    <row r="642" spans="1:8" ht="30">
      <c r="A642" s="48">
        <v>1</v>
      </c>
      <c r="B642" s="48" t="s">
        <v>160</v>
      </c>
      <c r="C642" s="30" t="s">
        <v>1214</v>
      </c>
      <c r="D642" s="30" t="s">
        <v>1215</v>
      </c>
      <c r="E642" s="30"/>
      <c r="F642" s="48">
        <v>2012</v>
      </c>
      <c r="G642" s="30" t="s">
        <v>1216</v>
      </c>
      <c r="H642" s="48">
        <v>1</v>
      </c>
    </row>
    <row r="643" spans="1:8" ht="45">
      <c r="A643" s="48">
        <v>2</v>
      </c>
      <c r="B643" s="48" t="s">
        <v>160</v>
      </c>
      <c r="C643" s="30" t="s">
        <v>1217</v>
      </c>
      <c r="D643" s="30" t="s">
        <v>1218</v>
      </c>
      <c r="E643" s="30"/>
      <c r="F643" s="48">
        <v>2014</v>
      </c>
      <c r="G643" s="48">
        <v>940894</v>
      </c>
      <c r="H643" s="48">
        <v>1</v>
      </c>
    </row>
    <row r="644" spans="1:8" ht="30">
      <c r="A644" s="48">
        <v>3</v>
      </c>
      <c r="B644" s="48" t="s">
        <v>160</v>
      </c>
      <c r="C644" s="30" t="s">
        <v>1219</v>
      </c>
      <c r="D644" s="30" t="s">
        <v>1220</v>
      </c>
      <c r="E644" s="30"/>
      <c r="F644" s="48">
        <v>2012</v>
      </c>
      <c r="G644" s="30">
        <v>432676</v>
      </c>
      <c r="H644" s="48">
        <v>1</v>
      </c>
    </row>
    <row r="645" spans="1:8" ht="30">
      <c r="A645" s="48">
        <v>4</v>
      </c>
      <c r="B645" s="48" t="s">
        <v>160</v>
      </c>
      <c r="C645" s="30" t="s">
        <v>1221</v>
      </c>
      <c r="D645" s="30" t="s">
        <v>1222</v>
      </c>
      <c r="E645" s="30"/>
      <c r="F645" s="48">
        <v>2013</v>
      </c>
      <c r="G645" s="30">
        <v>548944</v>
      </c>
      <c r="H645" s="48">
        <v>1</v>
      </c>
    </row>
    <row r="646" spans="1:8" ht="45">
      <c r="A646" s="48">
        <v>5</v>
      </c>
      <c r="B646" s="48" t="s">
        <v>160</v>
      </c>
      <c r="C646" s="30" t="s">
        <v>1223</v>
      </c>
      <c r="D646" s="30" t="s">
        <v>1224</v>
      </c>
      <c r="E646" s="30"/>
      <c r="F646" s="48">
        <v>2015</v>
      </c>
      <c r="G646" s="30">
        <v>1423682</v>
      </c>
      <c r="H646" s="48">
        <v>1</v>
      </c>
    </row>
    <row r="647" spans="1:8">
      <c r="A647" s="96"/>
      <c r="B647" s="96"/>
      <c r="C647" s="82"/>
      <c r="D647" s="82"/>
      <c r="E647" s="82"/>
      <c r="F647" s="96"/>
      <c r="G647" s="82"/>
      <c r="H647" s="96"/>
    </row>
    <row r="648" spans="1:8" ht="15.75">
      <c r="A648" s="169" t="s">
        <v>404</v>
      </c>
      <c r="B648" s="96"/>
      <c r="C648" s="82"/>
      <c r="D648" s="82"/>
      <c r="E648" s="82"/>
      <c r="F648" s="96"/>
      <c r="G648" s="223"/>
      <c r="H648" s="96"/>
    </row>
    <row r="649" spans="1:8" ht="15.75">
      <c r="A649" s="169" t="s">
        <v>641</v>
      </c>
      <c r="B649" s="96"/>
      <c r="C649" s="82"/>
      <c r="D649" s="82"/>
      <c r="E649" s="82"/>
      <c r="F649" s="96"/>
      <c r="G649" s="82"/>
      <c r="H649" s="96"/>
    </row>
    <row r="650" spans="1:8">
      <c r="A650" s="96"/>
      <c r="B650" s="96"/>
      <c r="C650" s="96"/>
      <c r="D650" s="96"/>
      <c r="E650" s="96"/>
      <c r="F650" s="96"/>
      <c r="G650" s="96"/>
      <c r="H650" s="96"/>
    </row>
    <row r="651" spans="1:8" ht="15.75">
      <c r="A651" s="135" t="s">
        <v>1225</v>
      </c>
      <c r="B651" s="136"/>
      <c r="C651" s="136"/>
      <c r="D651" s="136"/>
      <c r="E651" s="136"/>
      <c r="F651" s="136"/>
      <c r="G651" s="136"/>
      <c r="H651" s="136"/>
    </row>
    <row r="652" spans="1:8" ht="31.5">
      <c r="A652" s="218" t="s">
        <v>127</v>
      </c>
      <c r="B652" s="219" t="s">
        <v>128</v>
      </c>
      <c r="C652" s="219" t="s">
        <v>129</v>
      </c>
      <c r="D652" s="219" t="s">
        <v>1</v>
      </c>
      <c r="E652" s="219"/>
      <c r="F652" s="219" t="s">
        <v>131</v>
      </c>
      <c r="G652" s="219" t="s">
        <v>132</v>
      </c>
      <c r="H652" s="219" t="s">
        <v>133</v>
      </c>
    </row>
    <row r="653" spans="1:8">
      <c r="A653" s="96"/>
      <c r="B653" s="96"/>
      <c r="C653" s="96"/>
      <c r="D653" s="96"/>
      <c r="E653" s="96"/>
      <c r="F653" s="96"/>
      <c r="G653" s="96"/>
      <c r="H653" s="96"/>
    </row>
    <row r="654" spans="1:8">
      <c r="A654" s="96"/>
      <c r="B654" s="96"/>
      <c r="C654" s="96"/>
      <c r="D654" s="96"/>
      <c r="E654" s="96"/>
      <c r="F654" s="96"/>
      <c r="G654" s="96"/>
      <c r="H654" s="96"/>
    </row>
    <row r="655" spans="1:8" ht="15.75">
      <c r="A655" s="135" t="s">
        <v>1226</v>
      </c>
      <c r="B655" s="136"/>
      <c r="C655" s="136"/>
      <c r="D655" s="136"/>
      <c r="E655" s="136"/>
      <c r="F655" s="136"/>
      <c r="G655" s="136"/>
      <c r="H655" s="136"/>
    </row>
    <row r="656" spans="1:8" ht="31.5">
      <c r="A656" s="218" t="s">
        <v>127</v>
      </c>
      <c r="B656" s="219" t="s">
        <v>128</v>
      </c>
      <c r="C656" s="219" t="s">
        <v>129</v>
      </c>
      <c r="D656" s="219" t="s">
        <v>1</v>
      </c>
      <c r="E656" s="219"/>
      <c r="F656" s="219" t="s">
        <v>131</v>
      </c>
      <c r="G656" s="219" t="s">
        <v>132</v>
      </c>
      <c r="H656" s="219" t="s">
        <v>133</v>
      </c>
    </row>
    <row r="657" spans="1:8">
      <c r="A657" s="48">
        <v>1</v>
      </c>
      <c r="B657" s="48" t="s">
        <v>160</v>
      </c>
      <c r="C657" s="50" t="s">
        <v>1227</v>
      </c>
      <c r="D657" s="30" t="s">
        <v>1228</v>
      </c>
      <c r="E657" s="30"/>
      <c r="F657" s="30">
        <v>2014</v>
      </c>
      <c r="G657" s="30">
        <v>777958</v>
      </c>
      <c r="H657" s="30">
        <v>1</v>
      </c>
    </row>
    <row r="658" spans="1:8" ht="24" customHeight="1">
      <c r="A658" s="48">
        <v>2</v>
      </c>
      <c r="B658" s="48" t="s">
        <v>160</v>
      </c>
      <c r="C658" s="50" t="s">
        <v>1229</v>
      </c>
      <c r="D658" s="30" t="s">
        <v>599</v>
      </c>
      <c r="E658" s="30"/>
      <c r="F658" s="30">
        <v>2016</v>
      </c>
      <c r="G658" s="30">
        <v>1292506</v>
      </c>
      <c r="H658" s="30">
        <v>1</v>
      </c>
    </row>
    <row r="659" spans="1:8">
      <c r="A659" s="96"/>
      <c r="B659" s="96"/>
      <c r="C659" s="174"/>
      <c r="D659" s="82"/>
      <c r="E659" s="82"/>
      <c r="F659" s="82"/>
      <c r="G659" s="82"/>
      <c r="H659" s="82"/>
    </row>
    <row r="660" spans="1:8" ht="15.75">
      <c r="A660" s="169" t="s">
        <v>610</v>
      </c>
      <c r="B660" s="96"/>
      <c r="C660" s="174"/>
      <c r="D660" s="82"/>
      <c r="E660" s="82"/>
      <c r="F660" s="82"/>
      <c r="G660" s="82"/>
      <c r="H660" s="82"/>
    </row>
    <row r="661" spans="1:8" ht="15.75">
      <c r="A661" s="169" t="s">
        <v>611</v>
      </c>
      <c r="B661" s="96"/>
      <c r="C661" s="174"/>
      <c r="D661" s="82"/>
      <c r="E661" s="82"/>
      <c r="F661" s="82"/>
      <c r="G661" s="82"/>
      <c r="H661" s="82"/>
    </row>
    <row r="662" spans="1:8">
      <c r="A662" s="96"/>
      <c r="B662" s="96"/>
      <c r="C662" s="174"/>
      <c r="D662" s="82"/>
      <c r="E662" s="82"/>
      <c r="F662" s="82"/>
      <c r="G662" s="82"/>
      <c r="H662" s="82"/>
    </row>
    <row r="663" spans="1:8">
      <c r="A663" s="96"/>
      <c r="B663" s="96"/>
      <c r="C663" s="96"/>
      <c r="D663" s="96"/>
      <c r="E663" s="96"/>
      <c r="F663" s="96"/>
      <c r="G663" s="96"/>
      <c r="H663" s="96"/>
    </row>
    <row r="664" spans="1:8" ht="15.75">
      <c r="A664" s="135" t="s">
        <v>1230</v>
      </c>
      <c r="B664" s="135"/>
      <c r="C664" s="135"/>
      <c r="D664" s="135"/>
      <c r="E664" s="135"/>
      <c r="F664" s="135"/>
      <c r="G664" s="135"/>
      <c r="H664" s="135"/>
    </row>
    <row r="665" spans="1:8" ht="31.5">
      <c r="A665" s="218" t="s">
        <v>127</v>
      </c>
      <c r="B665" s="219" t="s">
        <v>128</v>
      </c>
      <c r="C665" s="219" t="s">
        <v>129</v>
      </c>
      <c r="D665" s="219" t="s">
        <v>1</v>
      </c>
      <c r="E665" s="219"/>
      <c r="F665" s="219" t="s">
        <v>131</v>
      </c>
      <c r="G665" s="219" t="s">
        <v>132</v>
      </c>
      <c r="H665" s="219" t="s">
        <v>133</v>
      </c>
    </row>
    <row r="666" spans="1:8" ht="21" customHeight="1">
      <c r="A666" s="48">
        <v>1</v>
      </c>
      <c r="B666" s="48" t="s">
        <v>160</v>
      </c>
      <c r="C666" s="30" t="s">
        <v>1231</v>
      </c>
      <c r="D666" s="30" t="s">
        <v>1232</v>
      </c>
      <c r="E666" s="30"/>
      <c r="F666" s="30">
        <v>2019</v>
      </c>
      <c r="G666" s="30">
        <v>2324353</v>
      </c>
      <c r="H666" s="30">
        <v>1</v>
      </c>
    </row>
    <row r="667" spans="1:8" ht="15.75">
      <c r="A667" s="163"/>
      <c r="B667" s="164"/>
      <c r="C667" s="164"/>
      <c r="D667" s="164"/>
      <c r="E667" s="164"/>
      <c r="F667" s="164"/>
      <c r="G667" s="164"/>
      <c r="H667" s="164"/>
    </row>
    <row r="668" spans="1:8" ht="15.75">
      <c r="A668" s="169" t="s">
        <v>1211</v>
      </c>
      <c r="B668" s="164"/>
      <c r="C668" s="164"/>
      <c r="D668" s="164"/>
      <c r="E668" s="164"/>
      <c r="F668" s="164"/>
      <c r="G668" s="164"/>
      <c r="H668" s="164"/>
    </row>
    <row r="669" spans="1:8" ht="15.75">
      <c r="A669" s="169" t="s">
        <v>1212</v>
      </c>
      <c r="B669" s="164"/>
      <c r="C669" s="164"/>
      <c r="D669" s="164"/>
      <c r="E669" s="164"/>
      <c r="F669" s="164"/>
      <c r="G669" s="164"/>
      <c r="H669" s="164"/>
    </row>
    <row r="670" spans="1:8">
      <c r="A670" s="96"/>
      <c r="B670" s="96"/>
      <c r="C670" s="96"/>
      <c r="D670" s="96"/>
      <c r="E670" s="96"/>
      <c r="F670" s="96"/>
      <c r="G670" s="96"/>
      <c r="H670" s="96"/>
    </row>
    <row r="671" spans="1:8" ht="15.75">
      <c r="A671" s="135" t="s">
        <v>1233</v>
      </c>
      <c r="B671" s="135"/>
      <c r="C671" s="135"/>
      <c r="D671" s="135"/>
      <c r="E671" s="135"/>
      <c r="F671" s="135"/>
      <c r="G671" s="135"/>
      <c r="H671" s="135"/>
    </row>
    <row r="672" spans="1:8" ht="31.5">
      <c r="A672" s="218" t="s">
        <v>127</v>
      </c>
      <c r="B672" s="219" t="s">
        <v>128</v>
      </c>
      <c r="C672" s="219" t="s">
        <v>129</v>
      </c>
      <c r="D672" s="219" t="s">
        <v>1</v>
      </c>
      <c r="E672" s="219"/>
      <c r="F672" s="219" t="s">
        <v>131</v>
      </c>
      <c r="G672" s="219" t="s">
        <v>132</v>
      </c>
      <c r="H672" s="219" t="s">
        <v>133</v>
      </c>
    </row>
    <row r="673" spans="1:8" ht="15.75">
      <c r="A673" s="163"/>
      <c r="B673" s="164"/>
      <c r="C673" s="164"/>
      <c r="D673" s="164"/>
      <c r="E673" s="164"/>
      <c r="F673" s="164"/>
      <c r="G673" s="164"/>
      <c r="H673" s="164"/>
    </row>
    <row r="674" spans="1:8">
      <c r="A674" s="96"/>
      <c r="B674" s="96"/>
      <c r="C674" s="96"/>
      <c r="D674" s="96"/>
      <c r="E674" s="96"/>
      <c r="F674" s="96"/>
      <c r="G674" s="96"/>
      <c r="H674" s="96"/>
    </row>
    <row r="675" spans="1:8" ht="15.75">
      <c r="A675" s="135" t="s">
        <v>1234</v>
      </c>
      <c r="B675" s="135"/>
      <c r="C675" s="135"/>
      <c r="D675" s="135"/>
      <c r="E675" s="135"/>
      <c r="F675" s="135"/>
      <c r="G675" s="135"/>
      <c r="H675" s="135"/>
    </row>
    <row r="676" spans="1:8" ht="31.5">
      <c r="A676" s="218" t="s">
        <v>127</v>
      </c>
      <c r="B676" s="219" t="s">
        <v>128</v>
      </c>
      <c r="C676" s="219" t="s">
        <v>129</v>
      </c>
      <c r="D676" s="219" t="s">
        <v>1</v>
      </c>
      <c r="E676" s="219"/>
      <c r="F676" s="219" t="s">
        <v>131</v>
      </c>
      <c r="G676" s="219" t="s">
        <v>132</v>
      </c>
      <c r="H676" s="219" t="s">
        <v>133</v>
      </c>
    </row>
    <row r="677" spans="1:8" ht="30">
      <c r="A677" s="48">
        <v>1</v>
      </c>
      <c r="B677" s="48" t="s">
        <v>160</v>
      </c>
      <c r="C677" s="30" t="s">
        <v>1235</v>
      </c>
      <c r="D677" s="30" t="s">
        <v>1236</v>
      </c>
      <c r="E677" s="30"/>
      <c r="F677" s="30">
        <v>2014</v>
      </c>
      <c r="G677" s="30">
        <v>1103273</v>
      </c>
      <c r="H677" s="30">
        <v>1</v>
      </c>
    </row>
    <row r="678" spans="1:8" ht="15.75">
      <c r="A678" s="96"/>
      <c r="B678" s="96"/>
      <c r="C678" s="96"/>
      <c r="D678" s="164"/>
      <c r="E678" s="164"/>
      <c r="F678" s="164"/>
      <c r="G678" s="164"/>
      <c r="H678" s="164"/>
    </row>
    <row r="679" spans="1:8" ht="15.75">
      <c r="A679" s="169" t="s">
        <v>1211</v>
      </c>
      <c r="B679" s="96"/>
      <c r="C679" s="164"/>
      <c r="D679" s="164"/>
      <c r="E679" s="164"/>
      <c r="F679" s="164"/>
      <c r="G679" s="164"/>
      <c r="H679" s="164"/>
    </row>
    <row r="680" spans="1:8" ht="15.75">
      <c r="A680" s="169" t="s">
        <v>1212</v>
      </c>
      <c r="B680" s="96"/>
      <c r="C680" s="164"/>
      <c r="D680" s="164"/>
      <c r="E680" s="164"/>
      <c r="F680" s="164"/>
      <c r="G680" s="164"/>
      <c r="H680" s="164"/>
    </row>
    <row r="681" spans="1:8" ht="15.75">
      <c r="A681" s="96"/>
      <c r="B681" s="96"/>
      <c r="C681" s="164"/>
      <c r="D681" s="164"/>
      <c r="E681" s="164"/>
      <c r="F681" s="164"/>
      <c r="G681" s="164"/>
      <c r="H681" s="164"/>
    </row>
    <row r="682" spans="1:8" ht="15.75">
      <c r="A682" s="135" t="s">
        <v>1237</v>
      </c>
      <c r="B682" s="136"/>
      <c r="C682" s="136"/>
      <c r="D682" s="136"/>
      <c r="E682" s="136"/>
      <c r="F682" s="136"/>
      <c r="G682" s="136"/>
      <c r="H682" s="136"/>
    </row>
    <row r="683" spans="1:8" ht="31.5">
      <c r="A683" s="218" t="s">
        <v>127</v>
      </c>
      <c r="B683" s="219" t="s">
        <v>128</v>
      </c>
      <c r="C683" s="219" t="s">
        <v>129</v>
      </c>
      <c r="D683" s="219" t="s">
        <v>1</v>
      </c>
      <c r="E683" s="219"/>
      <c r="F683" s="219" t="s">
        <v>131</v>
      </c>
      <c r="G683" s="219" t="s">
        <v>132</v>
      </c>
      <c r="H683" s="219" t="s">
        <v>133</v>
      </c>
    </row>
    <row r="684" spans="1:8" ht="105">
      <c r="A684" s="218"/>
      <c r="B684" s="219"/>
      <c r="C684" s="219" t="s">
        <v>1238</v>
      </c>
      <c r="D684" s="219" t="s">
        <v>1239</v>
      </c>
      <c r="E684" s="39" t="s">
        <v>1240</v>
      </c>
      <c r="F684" s="219">
        <v>2021</v>
      </c>
      <c r="G684" s="219">
        <v>2631279</v>
      </c>
      <c r="H684" s="219"/>
    </row>
    <row r="685" spans="1:8" ht="90">
      <c r="A685" s="218"/>
      <c r="B685" s="219"/>
      <c r="C685" s="219" t="s">
        <v>1241</v>
      </c>
      <c r="D685" s="219" t="s">
        <v>1242</v>
      </c>
      <c r="E685" s="39" t="s">
        <v>1243</v>
      </c>
      <c r="F685" s="219">
        <v>2021</v>
      </c>
      <c r="G685" s="219">
        <v>1103392</v>
      </c>
      <c r="H685" s="219"/>
    </row>
    <row r="686" spans="1:8" ht="105">
      <c r="A686" s="218"/>
      <c r="B686" s="219"/>
      <c r="C686" s="219" t="s">
        <v>1241</v>
      </c>
      <c r="D686" s="219" t="s">
        <v>1244</v>
      </c>
      <c r="E686" s="39" t="s">
        <v>1245</v>
      </c>
      <c r="F686" s="219">
        <v>2021</v>
      </c>
      <c r="G686" s="219">
        <v>1103340</v>
      </c>
      <c r="H686" s="219"/>
    </row>
    <row r="687" spans="1:8">
      <c r="A687" s="48">
        <v>1</v>
      </c>
      <c r="B687" s="48" t="s">
        <v>160</v>
      </c>
      <c r="C687" s="30" t="s">
        <v>1229</v>
      </c>
      <c r="D687" s="30" t="s">
        <v>599</v>
      </c>
      <c r="E687" s="30"/>
      <c r="F687" s="30">
        <v>2016</v>
      </c>
      <c r="G687" s="30">
        <v>1292506</v>
      </c>
      <c r="H687" s="30">
        <v>1</v>
      </c>
    </row>
    <row r="688" spans="1:8">
      <c r="A688" s="96"/>
      <c r="B688" s="96"/>
      <c r="C688" s="82"/>
      <c r="D688" s="82"/>
      <c r="E688" s="82"/>
      <c r="F688" s="82"/>
      <c r="G688" s="82"/>
      <c r="H688" s="82"/>
    </row>
    <row r="689" spans="1:8" ht="15.75">
      <c r="A689" s="169" t="s">
        <v>1211</v>
      </c>
      <c r="B689" s="96"/>
      <c r="C689" s="82"/>
      <c r="D689" s="82"/>
      <c r="E689" s="82"/>
      <c r="F689" s="82"/>
      <c r="G689" s="82"/>
      <c r="H689" s="82"/>
    </row>
    <row r="690" spans="1:8" ht="15.75">
      <c r="A690" s="169" t="s">
        <v>1212</v>
      </c>
      <c r="B690" s="96"/>
      <c r="C690" s="82"/>
      <c r="D690" s="82"/>
      <c r="E690" s="82"/>
      <c r="F690" s="82"/>
      <c r="G690" s="82"/>
      <c r="H690" s="82"/>
    </row>
    <row r="691" spans="1:8">
      <c r="A691" s="96"/>
      <c r="B691" s="96"/>
      <c r="C691" s="96"/>
      <c r="D691" s="96"/>
      <c r="E691" s="96"/>
      <c r="F691" s="96"/>
      <c r="G691" s="96"/>
      <c r="H691" s="96"/>
    </row>
    <row r="692" spans="1:8" ht="15.75">
      <c r="A692" s="135" t="s">
        <v>1246</v>
      </c>
      <c r="B692" s="136"/>
      <c r="C692" s="136"/>
      <c r="D692" s="136"/>
      <c r="E692" s="136"/>
      <c r="F692" s="136"/>
      <c r="G692" s="136"/>
      <c r="H692" s="136"/>
    </row>
    <row r="693" spans="1:8" ht="31.5">
      <c r="A693" s="218" t="s">
        <v>127</v>
      </c>
      <c r="B693" s="219" t="s">
        <v>128</v>
      </c>
      <c r="C693" s="219" t="s">
        <v>129</v>
      </c>
      <c r="D693" s="219" t="s">
        <v>1</v>
      </c>
      <c r="E693" s="219"/>
      <c r="F693" s="219" t="s">
        <v>131</v>
      </c>
      <c r="G693" s="219" t="s">
        <v>132</v>
      </c>
      <c r="H693" s="219" t="s">
        <v>133</v>
      </c>
    </row>
    <row r="694" spans="1:8">
      <c r="A694" s="48">
        <v>1</v>
      </c>
      <c r="B694" s="48" t="s">
        <v>160</v>
      </c>
      <c r="C694" s="48" t="s">
        <v>1247</v>
      </c>
      <c r="D694" s="48" t="s">
        <v>1248</v>
      </c>
      <c r="E694" s="48"/>
      <c r="F694" s="48">
        <v>2012</v>
      </c>
      <c r="G694" s="48">
        <v>597677</v>
      </c>
      <c r="H694" s="48">
        <v>1</v>
      </c>
    </row>
    <row r="695" spans="1:8" ht="30">
      <c r="A695" s="48">
        <v>2</v>
      </c>
      <c r="B695" s="48" t="s">
        <v>160</v>
      </c>
      <c r="C695" s="48" t="s">
        <v>1249</v>
      </c>
      <c r="D695" s="30" t="s">
        <v>1250</v>
      </c>
      <c r="E695" s="30"/>
      <c r="F695" s="48">
        <v>2016</v>
      </c>
      <c r="G695" s="30" t="s">
        <v>1251</v>
      </c>
      <c r="H695" s="48">
        <v>1</v>
      </c>
    </row>
    <row r="696" spans="1:8" ht="30">
      <c r="A696" s="48">
        <v>3</v>
      </c>
      <c r="B696" s="48" t="s">
        <v>160</v>
      </c>
      <c r="C696" s="30" t="s">
        <v>1252</v>
      </c>
      <c r="D696" s="30" t="s">
        <v>1144</v>
      </c>
      <c r="E696" s="30"/>
      <c r="F696" s="48">
        <v>2013</v>
      </c>
      <c r="G696" s="48">
        <v>632859</v>
      </c>
      <c r="H696" s="48">
        <v>1</v>
      </c>
    </row>
    <row r="697" spans="1:8" ht="30">
      <c r="A697" s="48">
        <v>4</v>
      </c>
      <c r="B697" s="48" t="s">
        <v>160</v>
      </c>
      <c r="C697" s="30" t="s">
        <v>1253</v>
      </c>
      <c r="D697" s="30" t="s">
        <v>1254</v>
      </c>
      <c r="E697" s="30"/>
      <c r="F697" s="48">
        <v>2018</v>
      </c>
      <c r="G697" s="48">
        <v>1802821</v>
      </c>
      <c r="H697" s="48">
        <v>1</v>
      </c>
    </row>
    <row r="698" spans="1:8" ht="30">
      <c r="A698" s="48">
        <v>5</v>
      </c>
      <c r="B698" s="48" t="s">
        <v>160</v>
      </c>
      <c r="C698" s="30" t="s">
        <v>1255</v>
      </c>
      <c r="D698" s="30" t="s">
        <v>1256</v>
      </c>
      <c r="E698" s="30"/>
      <c r="F698" s="48">
        <v>2013</v>
      </c>
      <c r="G698" s="48">
        <v>715031</v>
      </c>
      <c r="H698" s="48">
        <v>1</v>
      </c>
    </row>
    <row r="699" spans="1:8">
      <c r="A699" s="96"/>
      <c r="B699" s="96"/>
      <c r="C699" s="82"/>
      <c r="D699" s="82"/>
      <c r="E699" s="82"/>
      <c r="F699" s="96"/>
      <c r="G699" s="96"/>
      <c r="H699" s="96"/>
    </row>
    <row r="700" spans="1:8" ht="15.75">
      <c r="A700" s="169" t="s">
        <v>404</v>
      </c>
      <c r="B700" s="96"/>
      <c r="C700" s="82"/>
      <c r="D700" s="82"/>
      <c r="E700" s="82"/>
      <c r="F700" s="96"/>
      <c r="G700" s="96"/>
      <c r="H700" s="96"/>
    </row>
    <row r="701" spans="1:8" ht="15.75">
      <c r="A701" s="169" t="s">
        <v>641</v>
      </c>
      <c r="B701" s="96"/>
      <c r="C701" s="82"/>
      <c r="D701" s="82"/>
      <c r="E701" s="82"/>
      <c r="F701" s="96"/>
      <c r="G701" s="96"/>
      <c r="H701" s="96"/>
    </row>
    <row r="702" spans="1:8">
      <c r="A702" s="169"/>
      <c r="B702" s="96"/>
      <c r="C702" s="82"/>
      <c r="D702" s="82"/>
      <c r="E702" s="82"/>
      <c r="F702" s="96"/>
      <c r="G702" s="96"/>
      <c r="H702" s="96"/>
    </row>
    <row r="703" spans="1:8" ht="15.75">
      <c r="A703" s="135" t="s">
        <v>1257</v>
      </c>
      <c r="B703" s="136"/>
      <c r="C703" s="136"/>
      <c r="D703" s="136"/>
      <c r="E703" s="136"/>
      <c r="F703" s="136"/>
      <c r="G703" s="136"/>
      <c r="H703" s="136"/>
    </row>
    <row r="704" spans="1:8" ht="15.75">
      <c r="A704" s="135" t="s">
        <v>1226</v>
      </c>
      <c r="B704" s="136"/>
      <c r="C704" s="136"/>
      <c r="D704" s="136"/>
      <c r="E704" s="136"/>
      <c r="F704" s="136"/>
      <c r="G704" s="136"/>
      <c r="H704" s="136"/>
    </row>
    <row r="705" spans="1:20" ht="31.5">
      <c r="A705" s="218" t="s">
        <v>127</v>
      </c>
      <c r="B705" s="219" t="s">
        <v>128</v>
      </c>
      <c r="C705" s="219" t="s">
        <v>129</v>
      </c>
      <c r="D705" s="219" t="s">
        <v>1</v>
      </c>
      <c r="E705" s="219"/>
      <c r="F705" s="219" t="s">
        <v>131</v>
      </c>
      <c r="G705" s="219" t="s">
        <v>132</v>
      </c>
      <c r="H705" s="219" t="s">
        <v>133</v>
      </c>
    </row>
    <row r="709" spans="1:20" ht="18">
      <c r="A709" s="5"/>
      <c r="B709" s="5"/>
      <c r="C709" s="5"/>
      <c r="D709" s="5"/>
      <c r="E709" s="5"/>
      <c r="F709" s="224" t="s">
        <v>120</v>
      </c>
      <c r="G709" s="224"/>
      <c r="H709" s="5"/>
      <c r="I709" s="5"/>
      <c r="J709" s="5"/>
      <c r="K709" s="5"/>
      <c r="L709" s="224"/>
      <c r="M709" s="224"/>
      <c r="N709" s="224"/>
      <c r="O709" s="224"/>
      <c r="P709" s="224"/>
      <c r="Q709" s="224"/>
      <c r="R709" s="224"/>
      <c r="S709" s="224"/>
      <c r="T709" s="5"/>
    </row>
    <row r="710" spans="1:20" ht="18">
      <c r="A710" s="5"/>
      <c r="B710" s="5"/>
      <c r="C710" s="5"/>
      <c r="D710" s="5"/>
      <c r="E710" s="5"/>
      <c r="F710" s="224"/>
      <c r="G710" s="224"/>
      <c r="H710" s="5"/>
      <c r="I710" s="5"/>
      <c r="J710" s="5"/>
      <c r="K710" s="5"/>
      <c r="L710" s="224"/>
      <c r="M710" s="224"/>
      <c r="N710" s="224"/>
      <c r="O710" s="224"/>
      <c r="P710" s="224"/>
      <c r="Q710" s="224"/>
      <c r="R710" s="224"/>
      <c r="S710" s="224"/>
      <c r="T710" s="5"/>
    </row>
    <row r="711" spans="1:20" ht="18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224"/>
      <c r="M711" s="224"/>
      <c r="N711" s="224"/>
      <c r="O711" s="224"/>
      <c r="P711" s="224"/>
      <c r="Q711" s="224"/>
      <c r="R711" s="224"/>
      <c r="S711" s="224"/>
      <c r="T711" s="5"/>
    </row>
    <row r="712" spans="1:20" ht="18">
      <c r="A712" s="5"/>
      <c r="B712" s="5"/>
      <c r="C712" s="5"/>
      <c r="D712" s="5"/>
      <c r="E712" s="5"/>
      <c r="F712" s="18" t="s">
        <v>121</v>
      </c>
      <c r="G712" s="5"/>
      <c r="H712" s="5"/>
      <c r="I712" s="5"/>
      <c r="J712" s="5"/>
      <c r="K712" s="5"/>
      <c r="L712" s="224"/>
      <c r="M712" s="224"/>
      <c r="N712" s="224"/>
      <c r="O712" s="224"/>
      <c r="P712" s="224"/>
      <c r="Q712" s="224"/>
      <c r="R712" s="224"/>
      <c r="S712" s="224"/>
      <c r="T712" s="5"/>
    </row>
    <row r="713" spans="1:20" ht="18">
      <c r="A713" s="5"/>
      <c r="B713" s="5"/>
      <c r="C713" s="5"/>
      <c r="D713" s="5"/>
      <c r="E713" s="5"/>
      <c r="F713" s="225" t="s">
        <v>1258</v>
      </c>
      <c r="G713" s="224"/>
      <c r="H713" s="5"/>
      <c r="I713" s="5"/>
      <c r="J713" s="5"/>
      <c r="K713" s="5"/>
      <c r="M713" s="18"/>
      <c r="N713" s="18"/>
      <c r="O713" s="18"/>
      <c r="P713" s="18"/>
      <c r="Q713" s="18"/>
      <c r="R713" s="18"/>
      <c r="S713" s="18"/>
      <c r="T713" s="18"/>
    </row>
    <row r="714" spans="1:20" ht="18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N714" s="224"/>
      <c r="O714" s="224"/>
      <c r="P714" s="224"/>
      <c r="Q714" s="224"/>
      <c r="R714" s="224"/>
      <c r="S714" s="224"/>
      <c r="T714" s="224"/>
    </row>
    <row r="715" spans="1:20" ht="18">
      <c r="A715" s="224" t="s">
        <v>122</v>
      </c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224"/>
      <c r="M715" s="224"/>
      <c r="N715" s="224"/>
      <c r="O715" s="224"/>
      <c r="P715" s="224"/>
      <c r="Q715" s="224"/>
      <c r="R715" s="224"/>
      <c r="S715" s="224"/>
      <c r="T715" s="5"/>
    </row>
    <row r="716" spans="1:20" ht="15.7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</row>
    <row r="717" spans="1:20" ht="18">
      <c r="A717" s="224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</row>
    <row r="718" spans="1:20" ht="18">
      <c r="A718" s="18" t="s">
        <v>1259</v>
      </c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</row>
    <row r="719" spans="1:20" ht="18">
      <c r="A719" s="224" t="s">
        <v>1260</v>
      </c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</row>
  </sheetData>
  <sortState ref="A186:T194">
    <sortCondition descending="1" ref="F186:F194"/>
  </sortState>
  <mergeCells count="11">
    <mergeCell ref="D1:F7"/>
    <mergeCell ref="A141:F141"/>
    <mergeCell ref="A225:F225"/>
    <mergeCell ref="A437:H437"/>
    <mergeCell ref="A454:H454"/>
    <mergeCell ref="A463:H463"/>
    <mergeCell ref="B10:I10"/>
    <mergeCell ref="B12:I12"/>
    <mergeCell ref="A13:H13"/>
    <mergeCell ref="A17:H17"/>
    <mergeCell ref="A54:J54"/>
  </mergeCells>
  <hyperlinks>
    <hyperlink ref="C107" r:id="rId1" tooltip="Search for Michael C. Hawkins"/>
    <hyperlink ref="C109" r:id="rId2" tooltip="Search for René Alexander D. Orquiza"/>
    <hyperlink ref="C62" r:id="rId3" tooltip="Search for Sokół, Jan"/>
    <hyperlink ref="C61" r:id="rId4" tooltip="Search for Brian Besong"/>
    <hyperlink ref="C89" r:id="rId5" tooltip="Search for Dr. Gary S. Goodman"/>
    <hyperlink ref="C92" r:id="rId6" tooltip="Search for Dale Carnegie &amp; Associates"/>
    <hyperlink ref="C94" r:id="rId7" tooltip="Search for Stovall, Jim"/>
    <hyperlink ref="C93" r:id="rId8" tooltip="Search for Topher Morrison"/>
    <hyperlink ref="C90" r:id="rId9" tooltip="Search for Dale Carnegie"/>
    <hyperlink ref="C303" r:id="rId10" tooltip="Search for ARUN KUMAR TOMAR"/>
    <hyperlink ref="C164" r:id="rId11" tooltip="Search for Charles Russo"/>
    <hyperlink ref="C165" r:id="rId12" tooltip="Search for Drid, Patrik"/>
    <hyperlink ref="C166" r:id="rId13" tooltip="Search for John Eric Goff"/>
    <hyperlink ref="E19" r:id="rId14"/>
    <hyperlink ref="E20" r:id="rId15"/>
    <hyperlink ref="E21" r:id="rId16"/>
    <hyperlink ref="E22" r:id="rId17"/>
    <hyperlink ref="E23" r:id="rId18"/>
    <hyperlink ref="E32" r:id="rId19" display="https://research.ebsco.com/c/fcl55w/search/details/pcibxxp4fz?db=e000xww%2Cnlebk%2Cagp%2Cofm%2Cddu&amp;limiters=DT1%3A2014-11-26%2F2024-11-26&amp;q=Mathematics%20As%20the%20Science%20of%20Patterns%3A%20Making%20the%20Invisible%20Visible%20to%20Students%20Through%20Teaching"/>
    <hyperlink ref="E33" r:id="rId20"/>
    <hyperlink ref="E34" r:id="rId21"/>
    <hyperlink ref="E45" r:id="rId22"/>
    <hyperlink ref="E42" r:id="rId23"/>
    <hyperlink ref="E46" r:id="rId24"/>
    <hyperlink ref="E43" r:id="rId25" display="https://research.ebsco.com/c/fcl55w/search/details/rv5f7puqsz?db=e000xww%2Cnlebk%2Cagp%2Cofm%2Cddu&amp;limiters=DT1%3A2014-11-26%2F2024-11-26&amp;q=Thriving%20with%20Stone%20Age%20Minds%20%3A%20Evolutionary%20Psychology%2C%20Christian%20Faith%2C%20and%20the%20Quest%20for%20Human%20Flourishing"/>
    <hyperlink ref="E44" r:id="rId26"/>
    <hyperlink ref="E56" r:id="rId27"/>
    <hyperlink ref="E57" r:id="rId28"/>
    <hyperlink ref="E58" r:id="rId29" display="https://research.ebsco.com/c/fcl55w/search/details/ibvfvwn74n?db=e000xww%2Cnlebk%2Cagp%2Cofm%2Cddu&amp;limiters=DT1%3A2019-11-26%2F2024-11-26%2CFT%3AY&amp;q=Human%20Resources%20Management%20and%20Ethics%3A%20Responsibilities%2C%20Actions%2C%20Issues%2C%20and%20Experiences"/>
    <hyperlink ref="E88" r:id="rId30"/>
    <hyperlink ref="E85" r:id="rId31"/>
    <hyperlink ref="E86" r:id="rId32"/>
    <hyperlink ref="E100" r:id="rId33" display="https://research.ebsco.com/c/fcl55w/search/details/oscrnxd2j5?db=e000xww%2Cnlebk%2Cagp%2Cofm%2Cddu&amp;limiters=DT1%3A2014-11-26%2F2024-11-26&amp;q=Freedom%20Incorporated%20%3A%20Anticommunism%20and%C2%A0Philippine%C2%A0Independence%20in%20the%20Age%20of%20Decolonization"/>
    <hyperlink ref="E101" r:id="rId34"/>
    <hyperlink ref="E102" r:id="rId35"/>
    <hyperlink ref="E104" r:id="rId36"/>
    <hyperlink ref="E105" r:id="rId37"/>
    <hyperlink ref="E106" r:id="rId38" display="https://research.ebsco.com/c/fcl55w/search/details/7n2himkjw5?db=e000xww%2Cnlebk%2Cagp%2Cofm%2Cddu&amp;limiters=DT1%3A2014-11-26%2F2024-11-26&amp;q=Asian%20Place%2C%20Filipino%20Nation%20%3A%20A%20Global%20Intellectual%20History%20of%20the%20Philippine%20Revolution"/>
    <hyperlink ref="E176" r:id="rId39"/>
    <hyperlink ref="E177" r:id="rId40"/>
    <hyperlink ref="E178" r:id="rId41"/>
    <hyperlink ref="E179" r:id="rId42"/>
    <hyperlink ref="E187" r:id="rId43"/>
    <hyperlink ref="E188" r:id="rId44"/>
    <hyperlink ref="E189" r:id="rId45"/>
    <hyperlink ref="E227" r:id="rId46"/>
    <hyperlink ref="E228" r:id="rId47"/>
    <hyperlink ref="E236" r:id="rId48"/>
    <hyperlink ref="E235" r:id="rId49"/>
    <hyperlink ref="E246" r:id="rId50"/>
    <hyperlink ref="E247" r:id="rId51"/>
    <hyperlink ref="E258" r:id="rId52"/>
    <hyperlink ref="E296" r:id="rId53"/>
    <hyperlink ref="E298" r:id="rId54"/>
    <hyperlink ref="E297" r:id="rId55"/>
    <hyperlink ref="E310" r:id="rId56"/>
    <hyperlink ref="E312" r:id="rId57"/>
    <hyperlink ref="E325" r:id="rId58"/>
    <hyperlink ref="E324" r:id="rId59"/>
    <hyperlink ref="E323" r:id="rId60"/>
    <hyperlink ref="E341" r:id="rId61"/>
    <hyperlink ref="E339" r:id="rId62"/>
    <hyperlink ref="E340" r:id="rId63"/>
    <hyperlink ref="E355" r:id="rId64"/>
    <hyperlink ref="E356" r:id="rId65"/>
    <hyperlink ref="E357" r:id="rId66"/>
    <hyperlink ref="E377" r:id="rId67"/>
    <hyperlink ref="E376" r:id="rId68"/>
    <hyperlink ref="E375" r:id="rId69"/>
    <hyperlink ref="E398" r:id="rId70"/>
    <hyperlink ref="E397" r:id="rId71"/>
    <hyperlink ref="E415" r:id="rId72"/>
    <hyperlink ref="E414" r:id="rId73"/>
    <hyperlink ref="E413" r:id="rId74"/>
    <hyperlink ref="E412" r:id="rId75"/>
    <hyperlink ref="E440" r:id="rId76"/>
    <hyperlink ref="E439" r:id="rId77"/>
    <hyperlink ref="E467" r:id="rId78"/>
    <hyperlink ref="E466" r:id="rId79"/>
    <hyperlink ref="E465" r:id="rId80"/>
    <hyperlink ref="E480" r:id="rId81"/>
    <hyperlink ref="E518" r:id="rId82"/>
    <hyperlink ref="E531" r:id="rId83"/>
    <hyperlink ref="E532" r:id="rId84"/>
    <hyperlink ref="E547" r:id="rId85"/>
    <hyperlink ref="E549" r:id="rId86"/>
    <hyperlink ref="E548" r:id="rId87"/>
    <hyperlink ref="E550" r:id="rId88"/>
    <hyperlink ref="E562" r:id="rId89"/>
    <hyperlink ref="E599" r:id="rId90" display="https://research.ebsco.com/c/fcl55w/search/details/msfa5seu4f?db=e000xww%2Cnlebk%2Cagp%2Cofm%2Cddu&amp;limiters=DT1%3A2019-11-26%2F2024-11-26&amp;q=Sustainable%20Natural%20Resource%20Management%20in%20the%20Himalayan%20Region%3A%20Livelihood%20and%20Climate%20Change"/>
    <hyperlink ref="E598" r:id="rId91"/>
    <hyperlink ref="E597" r:id="rId92"/>
    <hyperlink ref="E596" r:id="rId93"/>
    <hyperlink ref="E606" r:id="rId94"/>
    <hyperlink ref="E605" r:id="rId95"/>
    <hyperlink ref="E620" r:id="rId96"/>
    <hyperlink ref="E621" r:id="rId97"/>
    <hyperlink ref="E619" r:id="rId98"/>
    <hyperlink ref="E622" r:id="rId99"/>
    <hyperlink ref="E634" r:id="rId100"/>
    <hyperlink ref="E633" r:id="rId101"/>
    <hyperlink ref="E686" r:id="rId102"/>
    <hyperlink ref="E685" r:id="rId103"/>
    <hyperlink ref="E684" r:id="rId104"/>
    <hyperlink ref="E89" r:id="rId105"/>
    <hyperlink ref="E107" r:id="rId106"/>
    <hyperlink ref="E108" r:id="rId107" display="https://research.ebsco.com/c/fcl55w/search/details/oscrnxd2j5?db=e000xww%2Cnlebk%2Cagp%2Cofm%2Cddu&amp;limiters=DT1%3A2014-11-27%2F2024-11-27&amp;q=Freedom%20Incorporated%20%3A%20Anticommunism%20and%C2%A0Philippine%C2%A0Independence%20in%20the%20Age%20of%20Decolonization"/>
    <hyperlink ref="E109" r:id="rId108"/>
    <hyperlink ref="E166" r:id="rId109"/>
    <hyperlink ref="E180" r:id="rId110"/>
    <hyperlink ref="E261" r:id="rId111"/>
    <hyperlink ref="E443" r:id="rId112" display="https://research.ebsco.com/c/fcl55w/search/results?q=Unsaturated%20Soils%3A%20Behavior%2C%20Mechanics%20and%20Conditions&amp;autocorrect=y&amp;db=e000xww%2Cnlebk%2Cagp%2Cofm%2Cddu&amp;expanders=concept&amp;facetFilter=sourceTypes%3ANDMyQks%3D&amp;limiters=DT1%3A2014-11-27%2F2024-11-27&amp;resetPageNumber=true&amp;searchMode=boolean&amp;searchSegment=all-results"/>
  </hyperlinks>
  <pageMargins left="0.25" right="0.25" top="0.75" bottom="0.75" header="0.3" footer="0.3"/>
  <pageSetup paperSize="9" scale="65" fitToHeight="0" orientation="landscape" r:id="rId113"/>
  <drawing r:id="rId11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526"/>
  <sheetViews>
    <sheetView topLeftCell="A28" zoomScaleNormal="100" workbookViewId="0">
      <selection activeCell="A18" sqref="A18:H27"/>
    </sheetView>
  </sheetViews>
  <sheetFormatPr defaultColWidth="9" defaultRowHeight="15"/>
  <cols>
    <col min="2" max="2" width="11.85546875" customWidth="1"/>
    <col min="3" max="3" width="19.5703125" customWidth="1"/>
    <col min="4" max="4" width="37.5703125" style="6" customWidth="1"/>
    <col min="5" max="5" width="27.7109375" customWidth="1"/>
    <col min="6" max="6" width="13.85546875" customWidth="1"/>
    <col min="7" max="7" width="14.28515625" customWidth="1"/>
    <col min="8" max="8" width="9.28515625" customWidth="1"/>
  </cols>
  <sheetData>
    <row r="1" spans="1:10" ht="16.5" customHeight="1">
      <c r="D1" s="316" t="s">
        <v>1261</v>
      </c>
      <c r="E1" s="317"/>
    </row>
    <row r="2" spans="1:10">
      <c r="D2" s="317"/>
      <c r="E2" s="317"/>
    </row>
    <row r="3" spans="1:10">
      <c r="D3" s="317"/>
      <c r="E3" s="317"/>
    </row>
    <row r="4" spans="1:10">
      <c r="D4" s="317"/>
      <c r="E4" s="317"/>
    </row>
    <row r="5" spans="1:10">
      <c r="D5" s="317"/>
      <c r="E5" s="317"/>
    </row>
    <row r="6" spans="1:10">
      <c r="D6" s="317"/>
      <c r="E6" s="317"/>
    </row>
    <row r="7" spans="1:10">
      <c r="D7" s="317"/>
      <c r="E7" s="317"/>
    </row>
    <row r="13" spans="1:10" s="1" customFormat="1" ht="18.75">
      <c r="A13" s="18" t="s">
        <v>125</v>
      </c>
      <c r="D13" s="20"/>
    </row>
    <row r="14" spans="1:10" ht="15.75">
      <c r="A14" s="21"/>
    </row>
    <row r="15" spans="1:10" s="2" customFormat="1" ht="17.25">
      <c r="A15" s="311" t="s">
        <v>126</v>
      </c>
      <c r="B15" s="311"/>
      <c r="C15" s="311"/>
      <c r="D15" s="311"/>
      <c r="E15" s="311"/>
      <c r="F15" s="311"/>
      <c r="G15" s="311"/>
      <c r="H15" s="311"/>
      <c r="I15" s="36"/>
      <c r="J15" s="36"/>
    </row>
    <row r="16" spans="1:10" s="2" customFormat="1" ht="17.25">
      <c r="A16" s="22"/>
      <c r="B16" s="22"/>
      <c r="C16" s="22"/>
      <c r="D16" s="23"/>
      <c r="E16" s="22"/>
      <c r="F16" s="22"/>
      <c r="G16" s="22"/>
      <c r="H16" s="22"/>
      <c r="I16" s="36"/>
      <c r="J16" s="36"/>
    </row>
    <row r="17" spans="1:8" s="2" customFormat="1" ht="33">
      <c r="A17" s="24" t="s">
        <v>127</v>
      </c>
      <c r="B17" s="25" t="s">
        <v>128</v>
      </c>
      <c r="C17" s="25" t="s">
        <v>129</v>
      </c>
      <c r="D17" s="25" t="s">
        <v>1</v>
      </c>
      <c r="E17" s="25" t="s">
        <v>130</v>
      </c>
      <c r="F17" s="25" t="s">
        <v>131</v>
      </c>
      <c r="G17" s="25" t="s">
        <v>132</v>
      </c>
      <c r="H17" s="25" t="s">
        <v>133</v>
      </c>
    </row>
    <row r="18" spans="1:8" s="2" customFormat="1" ht="75">
      <c r="A18" s="345">
        <v>1</v>
      </c>
      <c r="B18" s="346" t="s">
        <v>1262</v>
      </c>
      <c r="C18" s="347" t="s">
        <v>1263</v>
      </c>
      <c r="D18" s="347" t="s">
        <v>1264</v>
      </c>
      <c r="E18" s="348"/>
      <c r="F18" s="349">
        <v>2024</v>
      </c>
      <c r="G18" s="349" t="s">
        <v>1265</v>
      </c>
      <c r="H18" s="350">
        <v>5</v>
      </c>
    </row>
    <row r="19" spans="1:8" s="2" customFormat="1" ht="60">
      <c r="A19" s="345">
        <v>2</v>
      </c>
      <c r="B19" s="346" t="s">
        <v>1631</v>
      </c>
      <c r="C19" s="347" t="s">
        <v>1266</v>
      </c>
      <c r="D19" s="347" t="s">
        <v>12</v>
      </c>
      <c r="E19" s="348"/>
      <c r="F19" s="350">
        <v>2020</v>
      </c>
      <c r="G19" s="350" t="s">
        <v>1267</v>
      </c>
      <c r="H19" s="350">
        <v>1</v>
      </c>
    </row>
    <row r="20" spans="1:8" s="2" customFormat="1" ht="60">
      <c r="A20" s="345">
        <v>3</v>
      </c>
      <c r="B20" s="346" t="s">
        <v>1632</v>
      </c>
      <c r="C20" s="347" t="s">
        <v>1268</v>
      </c>
      <c r="D20" s="347" t="s">
        <v>1269</v>
      </c>
      <c r="E20" s="348"/>
      <c r="F20" s="350">
        <v>2019</v>
      </c>
      <c r="G20" s="350" t="s">
        <v>1270</v>
      </c>
      <c r="H20" s="350">
        <v>1</v>
      </c>
    </row>
    <row r="21" spans="1:8" ht="54" customHeight="1">
      <c r="A21" s="345">
        <v>4</v>
      </c>
      <c r="B21" s="351" t="s">
        <v>151</v>
      </c>
      <c r="C21" s="352" t="s">
        <v>152</v>
      </c>
      <c r="D21" s="352" t="s">
        <v>153</v>
      </c>
      <c r="E21" s="353"/>
      <c r="F21" s="351">
        <v>2019</v>
      </c>
      <c r="G21" s="351" t="s">
        <v>154</v>
      </c>
      <c r="H21" s="351">
        <v>3</v>
      </c>
    </row>
    <row r="22" spans="1:8" ht="58.5" customHeight="1">
      <c r="A22" s="345">
        <v>5</v>
      </c>
      <c r="B22" s="351" t="s">
        <v>155</v>
      </c>
      <c r="C22" s="352" t="s">
        <v>156</v>
      </c>
      <c r="D22" s="352" t="s">
        <v>157</v>
      </c>
      <c r="E22" s="354"/>
      <c r="F22" s="351">
        <v>2019</v>
      </c>
      <c r="G22" s="351" t="s">
        <v>158</v>
      </c>
      <c r="H22" s="345">
        <v>3</v>
      </c>
    </row>
    <row r="23" spans="1:8" ht="40.5" customHeight="1">
      <c r="A23" s="345">
        <v>6</v>
      </c>
      <c r="B23" s="345" t="s">
        <v>134</v>
      </c>
      <c r="C23" s="355" t="s">
        <v>135</v>
      </c>
      <c r="D23" s="352" t="s">
        <v>136</v>
      </c>
      <c r="E23" s="356" t="s">
        <v>137</v>
      </c>
      <c r="F23" s="345">
        <v>2022</v>
      </c>
      <c r="G23" s="351">
        <v>3274698</v>
      </c>
      <c r="H23" s="345" t="s">
        <v>138</v>
      </c>
    </row>
    <row r="24" spans="1:8" ht="30.75" customHeight="1">
      <c r="A24" s="345">
        <v>7</v>
      </c>
      <c r="B24" s="345" t="s">
        <v>134</v>
      </c>
      <c r="C24" s="355" t="s">
        <v>139</v>
      </c>
      <c r="D24" s="352" t="s">
        <v>140</v>
      </c>
      <c r="E24" s="356" t="s">
        <v>141</v>
      </c>
      <c r="F24" s="345">
        <v>2020</v>
      </c>
      <c r="G24" s="351">
        <v>2725246</v>
      </c>
      <c r="H24" s="345" t="s">
        <v>138</v>
      </c>
    </row>
    <row r="25" spans="1:8" ht="34.5" customHeight="1">
      <c r="A25" s="345">
        <v>8</v>
      </c>
      <c r="B25" s="345" t="s">
        <v>134</v>
      </c>
      <c r="C25" s="357" t="s">
        <v>142</v>
      </c>
      <c r="D25" s="352" t="s">
        <v>143</v>
      </c>
      <c r="E25" s="356" t="s">
        <v>144</v>
      </c>
      <c r="F25" s="345">
        <v>2020</v>
      </c>
      <c r="G25" s="358">
        <v>2393515</v>
      </c>
      <c r="H25" s="345" t="s">
        <v>138</v>
      </c>
    </row>
    <row r="26" spans="1:8" ht="45" customHeight="1">
      <c r="A26" s="345">
        <v>9</v>
      </c>
      <c r="B26" s="345" t="s">
        <v>134</v>
      </c>
      <c r="C26" s="352" t="s">
        <v>145</v>
      </c>
      <c r="D26" s="357" t="s">
        <v>146</v>
      </c>
      <c r="E26" s="356" t="s">
        <v>147</v>
      </c>
      <c r="F26" s="358">
        <v>2020</v>
      </c>
      <c r="G26" s="345">
        <v>2649036</v>
      </c>
      <c r="H26" s="345" t="s">
        <v>138</v>
      </c>
    </row>
    <row r="27" spans="1:8" ht="34.5" customHeight="1">
      <c r="A27" s="345">
        <v>10</v>
      </c>
      <c r="B27" s="345" t="s">
        <v>134</v>
      </c>
      <c r="C27" s="352" t="s">
        <v>148</v>
      </c>
      <c r="D27" s="352" t="s">
        <v>149</v>
      </c>
      <c r="E27" s="356" t="s">
        <v>150</v>
      </c>
      <c r="F27" s="345">
        <v>2020</v>
      </c>
      <c r="G27" s="345">
        <v>2669214</v>
      </c>
      <c r="H27" s="345" t="s">
        <v>138</v>
      </c>
    </row>
    <row r="31" spans="1:8" s="2" customFormat="1" ht="17.25">
      <c r="A31" s="36" t="s">
        <v>159</v>
      </c>
      <c r="B31" s="4"/>
      <c r="C31" s="36"/>
      <c r="D31" s="37"/>
      <c r="E31" s="36"/>
      <c r="F31" s="36"/>
      <c r="G31" s="36"/>
      <c r="H31" s="36"/>
    </row>
    <row r="32" spans="1:8" s="2" customFormat="1" ht="33">
      <c r="A32" s="24" t="s">
        <v>127</v>
      </c>
      <c r="B32" s="25" t="s">
        <v>128</v>
      </c>
      <c r="C32" s="25" t="s">
        <v>129</v>
      </c>
      <c r="D32" s="25" t="s">
        <v>1</v>
      </c>
      <c r="E32" s="25" t="s">
        <v>130</v>
      </c>
      <c r="F32" s="25" t="s">
        <v>131</v>
      </c>
      <c r="G32" s="25" t="s">
        <v>132</v>
      </c>
      <c r="H32" s="25" t="s">
        <v>133</v>
      </c>
    </row>
    <row r="33" spans="1:10" s="3" customFormat="1" ht="45">
      <c r="A33" s="27">
        <v>1</v>
      </c>
      <c r="B33" s="28" t="s">
        <v>1271</v>
      </c>
      <c r="C33" s="29" t="s">
        <v>1272</v>
      </c>
      <c r="D33" s="29" t="s">
        <v>1273</v>
      </c>
      <c r="E33" s="28"/>
      <c r="F33" s="28">
        <v>2024</v>
      </c>
      <c r="G33" s="28" t="s">
        <v>1265</v>
      </c>
      <c r="H33" s="28">
        <v>5</v>
      </c>
    </row>
    <row r="34" spans="1:10" s="3" customFormat="1" ht="75">
      <c r="A34" s="27">
        <v>2</v>
      </c>
      <c r="B34" s="28" t="s">
        <v>1274</v>
      </c>
      <c r="C34" s="28" t="s">
        <v>1275</v>
      </c>
      <c r="D34" s="29" t="s">
        <v>1276</v>
      </c>
      <c r="E34" s="28"/>
      <c r="F34" s="28">
        <v>2024</v>
      </c>
      <c r="G34" s="28" t="s">
        <v>1265</v>
      </c>
      <c r="H34" s="28">
        <v>5</v>
      </c>
    </row>
    <row r="35" spans="1:10" ht="51.75" customHeight="1">
      <c r="A35" s="27">
        <v>3</v>
      </c>
      <c r="B35" s="33" t="s">
        <v>170</v>
      </c>
      <c r="C35" s="31" t="s">
        <v>171</v>
      </c>
      <c r="D35" s="31" t="s">
        <v>14</v>
      </c>
      <c r="E35" s="30"/>
      <c r="F35" s="33">
        <v>2019</v>
      </c>
      <c r="G35" s="33" t="s">
        <v>172</v>
      </c>
      <c r="H35" s="33">
        <v>3</v>
      </c>
    </row>
    <row r="36" spans="1:10" ht="51.75" customHeight="1">
      <c r="A36" s="27">
        <v>4</v>
      </c>
      <c r="B36" s="33" t="s">
        <v>173</v>
      </c>
      <c r="C36" s="31" t="s">
        <v>174</v>
      </c>
      <c r="D36" s="31" t="s">
        <v>175</v>
      </c>
      <c r="E36" s="30"/>
      <c r="F36" s="33">
        <v>2019</v>
      </c>
      <c r="G36" s="33" t="s">
        <v>176</v>
      </c>
      <c r="H36" s="33">
        <v>3</v>
      </c>
    </row>
    <row r="37" spans="1:10" ht="55.5" customHeight="1">
      <c r="A37" s="27">
        <v>5</v>
      </c>
      <c r="B37" s="33" t="s">
        <v>160</v>
      </c>
      <c r="C37" s="31" t="s">
        <v>161</v>
      </c>
      <c r="D37" s="31" t="s">
        <v>162</v>
      </c>
      <c r="E37" s="38" t="s">
        <v>163</v>
      </c>
      <c r="F37" s="33">
        <v>2022</v>
      </c>
      <c r="G37" s="33">
        <v>3104606</v>
      </c>
      <c r="H37" s="33" t="s">
        <v>138</v>
      </c>
    </row>
    <row r="38" spans="1:10" ht="51.75" customHeight="1">
      <c r="A38" s="27">
        <v>6</v>
      </c>
      <c r="B38" s="33" t="s">
        <v>160</v>
      </c>
      <c r="C38" s="31" t="s">
        <v>164</v>
      </c>
      <c r="D38" s="31" t="s">
        <v>165</v>
      </c>
      <c r="E38" s="38" t="s">
        <v>166</v>
      </c>
      <c r="F38" s="33">
        <v>2021</v>
      </c>
      <c r="G38" s="33">
        <v>3017799</v>
      </c>
      <c r="H38" s="33" t="s">
        <v>138</v>
      </c>
    </row>
    <row r="39" spans="1:10" ht="51.75" customHeight="1">
      <c r="A39" s="27">
        <v>7</v>
      </c>
      <c r="B39" s="33" t="s">
        <v>160</v>
      </c>
      <c r="C39" s="31" t="s">
        <v>167</v>
      </c>
      <c r="D39" s="31" t="s">
        <v>168</v>
      </c>
      <c r="E39" s="38" t="s">
        <v>169</v>
      </c>
      <c r="F39" s="33">
        <v>2020</v>
      </c>
      <c r="G39" s="33">
        <v>2324340</v>
      </c>
      <c r="H39" s="33" t="s">
        <v>138</v>
      </c>
    </row>
    <row r="43" spans="1:10" s="2" customFormat="1" ht="17.25">
      <c r="A43" s="36" t="s">
        <v>177</v>
      </c>
      <c r="B43" s="36"/>
      <c r="C43" s="36"/>
      <c r="D43" s="37"/>
      <c r="E43" s="36"/>
      <c r="F43" s="36"/>
      <c r="G43" s="36"/>
      <c r="H43" s="36"/>
      <c r="I43" s="36"/>
      <c r="J43" s="36"/>
    </row>
    <row r="44" spans="1:10" s="2" customFormat="1" ht="33">
      <c r="A44" s="24" t="s">
        <v>127</v>
      </c>
      <c r="B44" s="25" t="s">
        <v>128</v>
      </c>
      <c r="C44" s="25" t="s">
        <v>129</v>
      </c>
      <c r="D44" s="25" t="s">
        <v>1</v>
      </c>
      <c r="E44" s="25" t="s">
        <v>130</v>
      </c>
      <c r="F44" s="25" t="s">
        <v>131</v>
      </c>
      <c r="G44" s="25" t="s">
        <v>132</v>
      </c>
      <c r="H44" s="25" t="s">
        <v>133</v>
      </c>
    </row>
    <row r="45" spans="1:10" ht="49.5" customHeight="1">
      <c r="A45" s="27">
        <v>1</v>
      </c>
      <c r="B45" s="33" t="s">
        <v>193</v>
      </c>
      <c r="C45" s="31" t="s">
        <v>194</v>
      </c>
      <c r="D45" s="31" t="s">
        <v>16</v>
      </c>
      <c r="E45" s="30"/>
      <c r="F45" s="33">
        <v>2019</v>
      </c>
      <c r="G45" s="33" t="s">
        <v>195</v>
      </c>
      <c r="H45" s="33">
        <v>3</v>
      </c>
    </row>
    <row r="46" spans="1:10" ht="46.5" customHeight="1">
      <c r="A46" s="27">
        <v>2</v>
      </c>
      <c r="B46" s="33" t="s">
        <v>196</v>
      </c>
      <c r="C46" s="31" t="s">
        <v>197</v>
      </c>
      <c r="D46" s="31" t="s">
        <v>198</v>
      </c>
      <c r="E46" s="30"/>
      <c r="F46" s="33">
        <v>2019</v>
      </c>
      <c r="G46" s="33" t="s">
        <v>199</v>
      </c>
      <c r="H46" s="33">
        <v>3</v>
      </c>
    </row>
    <row r="47" spans="1:10" ht="60" customHeight="1">
      <c r="A47" s="27">
        <v>3</v>
      </c>
      <c r="B47" s="33" t="s">
        <v>160</v>
      </c>
      <c r="C47" s="31" t="s">
        <v>178</v>
      </c>
      <c r="D47" s="31" t="s">
        <v>179</v>
      </c>
      <c r="E47" s="39" t="s">
        <v>180</v>
      </c>
      <c r="F47" s="33">
        <v>2021</v>
      </c>
      <c r="G47" s="40">
        <v>2569831</v>
      </c>
      <c r="H47" s="33" t="s">
        <v>138</v>
      </c>
    </row>
    <row r="48" spans="1:10" ht="60" customHeight="1">
      <c r="A48" s="27">
        <v>4</v>
      </c>
      <c r="B48" s="33" t="s">
        <v>160</v>
      </c>
      <c r="C48" s="31" t="s">
        <v>181</v>
      </c>
      <c r="D48" s="31" t="s">
        <v>182</v>
      </c>
      <c r="E48" s="39" t="s">
        <v>183</v>
      </c>
      <c r="F48" s="33">
        <v>2021</v>
      </c>
      <c r="G48" s="40">
        <v>2731856</v>
      </c>
      <c r="H48" s="33" t="s">
        <v>138</v>
      </c>
    </row>
    <row r="49" spans="1:10" ht="38.25" customHeight="1">
      <c r="A49" s="27">
        <v>5</v>
      </c>
      <c r="B49" s="33" t="s">
        <v>160</v>
      </c>
      <c r="C49" s="31" t="s">
        <v>184</v>
      </c>
      <c r="D49" s="31" t="s">
        <v>185</v>
      </c>
      <c r="E49" s="39" t="s">
        <v>186</v>
      </c>
      <c r="F49" s="33">
        <v>2021</v>
      </c>
      <c r="G49" s="40">
        <v>2895206</v>
      </c>
      <c r="H49" s="33" t="s">
        <v>138</v>
      </c>
    </row>
    <row r="50" spans="1:10" ht="37.5" customHeight="1">
      <c r="A50" s="27">
        <v>6</v>
      </c>
      <c r="B50" s="33" t="s">
        <v>160</v>
      </c>
      <c r="C50" s="31" t="s">
        <v>187</v>
      </c>
      <c r="D50" s="31" t="s">
        <v>188</v>
      </c>
      <c r="E50" s="39" t="s">
        <v>189</v>
      </c>
      <c r="F50" s="33">
        <v>2020</v>
      </c>
      <c r="G50" s="40">
        <v>2624084</v>
      </c>
      <c r="H50" s="33" t="s">
        <v>138</v>
      </c>
    </row>
    <row r="51" spans="1:10" ht="42" customHeight="1">
      <c r="A51" s="27">
        <v>7</v>
      </c>
      <c r="B51" s="33" t="s">
        <v>160</v>
      </c>
      <c r="C51" s="31" t="s">
        <v>190</v>
      </c>
      <c r="D51" s="31" t="s">
        <v>191</v>
      </c>
      <c r="E51" s="39" t="s">
        <v>192</v>
      </c>
      <c r="F51" s="33">
        <v>2020</v>
      </c>
      <c r="G51" s="40">
        <v>2576677</v>
      </c>
      <c r="H51" s="33" t="s">
        <v>138</v>
      </c>
    </row>
    <row r="56" spans="1:10" s="2" customFormat="1" ht="17.25">
      <c r="A56" s="311" t="s">
        <v>205</v>
      </c>
      <c r="B56" s="311"/>
      <c r="C56" s="311"/>
      <c r="D56" s="311"/>
      <c r="E56" s="311"/>
      <c r="F56" s="311"/>
      <c r="G56" s="311"/>
      <c r="H56" s="311"/>
      <c r="I56" s="311"/>
      <c r="J56" s="311"/>
    </row>
    <row r="57" spans="1:10" s="2" customFormat="1" ht="33">
      <c r="A57" s="24" t="s">
        <v>127</v>
      </c>
      <c r="B57" s="25" t="s">
        <v>128</v>
      </c>
      <c r="C57" s="25" t="s">
        <v>129</v>
      </c>
      <c r="D57" s="25" t="s">
        <v>1</v>
      </c>
      <c r="E57" s="25" t="s">
        <v>130</v>
      </c>
      <c r="F57" s="25" t="s">
        <v>131</v>
      </c>
      <c r="G57" s="25" t="s">
        <v>132</v>
      </c>
      <c r="H57" s="25" t="s">
        <v>133</v>
      </c>
    </row>
    <row r="58" spans="1:10" s="3" customFormat="1" ht="75">
      <c r="A58" s="27">
        <v>1</v>
      </c>
      <c r="B58" s="28" t="s">
        <v>1277</v>
      </c>
      <c r="C58" s="28" t="s">
        <v>1278</v>
      </c>
      <c r="D58" s="28" t="s">
        <v>1279</v>
      </c>
      <c r="E58" s="28"/>
      <c r="F58" s="28">
        <v>2023</v>
      </c>
      <c r="G58" s="28" t="s">
        <v>1265</v>
      </c>
      <c r="H58" s="28">
        <v>5</v>
      </c>
    </row>
    <row r="59" spans="1:10" s="3" customFormat="1" ht="60">
      <c r="A59" s="27">
        <v>2</v>
      </c>
      <c r="B59" s="28" t="s">
        <v>1280</v>
      </c>
      <c r="C59" s="29" t="s">
        <v>1281</v>
      </c>
      <c r="D59" s="29" t="s">
        <v>1282</v>
      </c>
      <c r="E59" s="28"/>
      <c r="F59" s="28">
        <v>2023</v>
      </c>
      <c r="G59" s="28" t="s">
        <v>1283</v>
      </c>
      <c r="H59" s="28">
        <v>5</v>
      </c>
    </row>
    <row r="60" spans="1:10" ht="108" customHeight="1">
      <c r="A60" s="27">
        <v>3</v>
      </c>
      <c r="B60" s="33" t="s">
        <v>134</v>
      </c>
      <c r="C60" s="41" t="s">
        <v>206</v>
      </c>
      <c r="D60" s="31" t="s">
        <v>207</v>
      </c>
      <c r="E60" s="39" t="s">
        <v>208</v>
      </c>
      <c r="F60" s="33">
        <v>2022</v>
      </c>
      <c r="G60" s="40">
        <v>3162474</v>
      </c>
      <c r="H60" s="33" t="s">
        <v>138</v>
      </c>
    </row>
    <row r="61" spans="1:10" ht="42.75" customHeight="1">
      <c r="A61" s="27">
        <v>4</v>
      </c>
      <c r="B61" s="33" t="s">
        <v>134</v>
      </c>
      <c r="C61" s="31" t="s">
        <v>209</v>
      </c>
      <c r="D61" s="31" t="s">
        <v>210</v>
      </c>
      <c r="E61" s="39" t="s">
        <v>211</v>
      </c>
      <c r="F61" s="33">
        <v>2021</v>
      </c>
      <c r="G61" s="40">
        <v>2898449</v>
      </c>
      <c r="H61" s="33" t="s">
        <v>138</v>
      </c>
    </row>
    <row r="62" spans="1:10" ht="60" customHeight="1">
      <c r="A62" s="27">
        <v>5</v>
      </c>
      <c r="B62" s="33" t="s">
        <v>134</v>
      </c>
      <c r="C62" s="31" t="s">
        <v>212</v>
      </c>
      <c r="D62" s="31" t="s">
        <v>213</v>
      </c>
      <c r="E62" s="39" t="s">
        <v>214</v>
      </c>
      <c r="F62" s="33">
        <v>2021</v>
      </c>
      <c r="G62" s="40">
        <v>2712155</v>
      </c>
      <c r="H62" s="33" t="s">
        <v>138</v>
      </c>
    </row>
    <row r="65" spans="1:8" ht="11.25" customHeight="1"/>
    <row r="66" spans="1:8" ht="11.25" customHeight="1"/>
    <row r="67" spans="1:8" ht="11.25" customHeight="1"/>
    <row r="68" spans="1:8" s="2" customFormat="1" ht="17.25">
      <c r="A68" s="22" t="s">
        <v>284</v>
      </c>
      <c r="B68" s="22"/>
      <c r="C68" s="22"/>
      <c r="D68" s="23"/>
      <c r="E68" s="22"/>
      <c r="F68" s="22"/>
      <c r="G68" s="22"/>
      <c r="H68" s="22"/>
    </row>
    <row r="69" spans="1:8" s="2" customFormat="1" ht="33">
      <c r="A69" s="24" t="s">
        <v>127</v>
      </c>
      <c r="B69" s="25" t="s">
        <v>128</v>
      </c>
      <c r="C69" s="25" t="s">
        <v>129</v>
      </c>
      <c r="D69" s="25" t="s">
        <v>1</v>
      </c>
      <c r="E69" s="25" t="s">
        <v>130</v>
      </c>
      <c r="F69" s="25" t="s">
        <v>131</v>
      </c>
      <c r="G69" s="25" t="s">
        <v>132</v>
      </c>
      <c r="H69" s="25" t="s">
        <v>133</v>
      </c>
    </row>
    <row r="70" spans="1:8" s="2" customFormat="1" ht="75">
      <c r="A70" s="27">
        <v>1</v>
      </c>
      <c r="B70" s="28" t="s">
        <v>1284</v>
      </c>
      <c r="C70" s="29" t="s">
        <v>1285</v>
      </c>
      <c r="D70" s="29" t="s">
        <v>1286</v>
      </c>
      <c r="E70" s="28"/>
      <c r="F70" s="28">
        <v>2024</v>
      </c>
      <c r="G70" s="28" t="s">
        <v>1283</v>
      </c>
      <c r="H70" s="42">
        <v>1</v>
      </c>
    </row>
    <row r="71" spans="1:8" s="2" customFormat="1" ht="60">
      <c r="A71" s="27">
        <v>2</v>
      </c>
      <c r="B71" s="28" t="s">
        <v>1287</v>
      </c>
      <c r="C71" s="29" t="s">
        <v>1288</v>
      </c>
      <c r="D71" s="29" t="s">
        <v>1289</v>
      </c>
      <c r="E71" s="28"/>
      <c r="F71" s="28">
        <v>2024</v>
      </c>
      <c r="G71" s="28" t="s">
        <v>1283</v>
      </c>
      <c r="H71" s="42">
        <v>1</v>
      </c>
    </row>
    <row r="72" spans="1:8" s="2" customFormat="1" ht="45">
      <c r="A72" s="27">
        <v>3</v>
      </c>
      <c r="B72" s="28" t="s">
        <v>1290</v>
      </c>
      <c r="C72" s="29" t="s">
        <v>1291</v>
      </c>
      <c r="D72" s="29" t="s">
        <v>1292</v>
      </c>
      <c r="E72" s="28"/>
      <c r="F72" s="28">
        <v>2023</v>
      </c>
      <c r="G72" s="28" t="s">
        <v>1283</v>
      </c>
      <c r="H72" s="42">
        <v>1</v>
      </c>
    </row>
    <row r="73" spans="1:8" s="2" customFormat="1" ht="60">
      <c r="A73" s="27">
        <v>4</v>
      </c>
      <c r="B73" s="28" t="s">
        <v>1293</v>
      </c>
      <c r="C73" s="29" t="s">
        <v>1294</v>
      </c>
      <c r="D73" s="29" t="s">
        <v>1295</v>
      </c>
      <c r="E73" s="28"/>
      <c r="F73" s="28">
        <v>2022</v>
      </c>
      <c r="G73" s="28" t="s">
        <v>1283</v>
      </c>
      <c r="H73" s="42">
        <v>1</v>
      </c>
    </row>
    <row r="74" spans="1:8" ht="51" customHeight="1">
      <c r="A74" s="27">
        <v>5</v>
      </c>
      <c r="B74" s="33" t="s">
        <v>291</v>
      </c>
      <c r="C74" s="31" t="s">
        <v>292</v>
      </c>
      <c r="D74" s="31" t="s">
        <v>20</v>
      </c>
      <c r="E74" s="39"/>
      <c r="F74" s="33">
        <v>2019</v>
      </c>
      <c r="G74" s="40" t="s">
        <v>293</v>
      </c>
      <c r="H74" s="33">
        <v>2</v>
      </c>
    </row>
    <row r="75" spans="1:8" ht="65.25" customHeight="1">
      <c r="A75" s="27">
        <v>6</v>
      </c>
      <c r="B75" s="33" t="s">
        <v>134</v>
      </c>
      <c r="C75" s="31" t="s">
        <v>285</v>
      </c>
      <c r="D75" s="43" t="s">
        <v>286</v>
      </c>
      <c r="E75" s="39" t="s">
        <v>1296</v>
      </c>
      <c r="F75" s="33">
        <v>2022</v>
      </c>
      <c r="G75" s="40">
        <v>3472486</v>
      </c>
      <c r="H75" s="33"/>
    </row>
    <row r="76" spans="1:8" ht="44.25" customHeight="1">
      <c r="A76" s="27">
        <v>7</v>
      </c>
      <c r="B76" s="33" t="s">
        <v>134</v>
      </c>
      <c r="C76" s="31" t="s">
        <v>285</v>
      </c>
      <c r="D76" s="31" t="s">
        <v>286</v>
      </c>
      <c r="E76" s="39" t="s">
        <v>287</v>
      </c>
      <c r="F76" s="33">
        <v>2022</v>
      </c>
      <c r="G76" s="44">
        <v>3472486</v>
      </c>
      <c r="H76" s="33" t="s">
        <v>138</v>
      </c>
    </row>
    <row r="77" spans="1:8" ht="44.25" customHeight="1">
      <c r="A77" s="27">
        <v>8</v>
      </c>
      <c r="B77" s="33" t="s">
        <v>134</v>
      </c>
      <c r="C77" s="31" t="s">
        <v>288</v>
      </c>
      <c r="D77" s="31" t="s">
        <v>1297</v>
      </c>
      <c r="E77" s="39" t="s">
        <v>1298</v>
      </c>
      <c r="F77" s="33">
        <v>2021</v>
      </c>
      <c r="G77" s="44">
        <v>2682449</v>
      </c>
      <c r="H77" s="33"/>
    </row>
    <row r="78" spans="1:8" ht="61.5" customHeight="1">
      <c r="A78" s="27">
        <v>9</v>
      </c>
      <c r="B78" s="33" t="s">
        <v>134</v>
      </c>
      <c r="C78" s="31" t="s">
        <v>288</v>
      </c>
      <c r="D78" s="31" t="s">
        <v>289</v>
      </c>
      <c r="E78" s="39" t="s">
        <v>290</v>
      </c>
      <c r="F78" s="33">
        <v>2021</v>
      </c>
      <c r="G78" s="44">
        <v>2682449</v>
      </c>
      <c r="H78" s="33" t="s">
        <v>138</v>
      </c>
    </row>
    <row r="79" spans="1:8" ht="65.25" customHeight="1">
      <c r="A79" s="27">
        <v>10</v>
      </c>
      <c r="B79" s="33" t="s">
        <v>134</v>
      </c>
      <c r="C79" s="31" t="s">
        <v>294</v>
      </c>
      <c r="D79" s="45" t="s">
        <v>295</v>
      </c>
      <c r="E79" s="39" t="s">
        <v>296</v>
      </c>
      <c r="F79" s="33">
        <v>2019</v>
      </c>
      <c r="G79" s="44">
        <v>2018031</v>
      </c>
      <c r="H79" s="33" t="s">
        <v>138</v>
      </c>
    </row>
    <row r="84" spans="1:8" s="2" customFormat="1" ht="17.25">
      <c r="A84" s="22" t="s">
        <v>311</v>
      </c>
      <c r="B84" s="22"/>
      <c r="C84" s="36"/>
      <c r="D84" s="46"/>
    </row>
    <row r="85" spans="1:8" s="2" customFormat="1" ht="33">
      <c r="A85" s="24" t="s">
        <v>127</v>
      </c>
      <c r="B85" s="25" t="s">
        <v>128</v>
      </c>
      <c r="C85" s="25" t="s">
        <v>129</v>
      </c>
      <c r="D85" s="25" t="s">
        <v>1</v>
      </c>
      <c r="E85" s="25" t="s">
        <v>130</v>
      </c>
      <c r="F85" s="25" t="s">
        <v>131</v>
      </c>
      <c r="G85" s="25" t="s">
        <v>132</v>
      </c>
      <c r="H85" s="25" t="s">
        <v>133</v>
      </c>
    </row>
    <row r="86" spans="1:8" ht="45">
      <c r="A86" s="27">
        <v>1</v>
      </c>
      <c r="B86" s="33" t="s">
        <v>333</v>
      </c>
      <c r="C86" s="31" t="s">
        <v>334</v>
      </c>
      <c r="D86" s="31" t="s">
        <v>335</v>
      </c>
      <c r="E86" s="30"/>
      <c r="F86" s="33">
        <v>2019</v>
      </c>
      <c r="G86" s="33" t="s">
        <v>336</v>
      </c>
      <c r="H86" s="33">
        <v>3</v>
      </c>
    </row>
    <row r="87" spans="1:8" ht="59.25" customHeight="1">
      <c r="A87" s="27">
        <v>2</v>
      </c>
      <c r="B87" s="33" t="s">
        <v>134</v>
      </c>
      <c r="C87" s="31" t="s">
        <v>1299</v>
      </c>
      <c r="D87" s="31" t="s">
        <v>1300</v>
      </c>
      <c r="E87" s="39" t="s">
        <v>1301</v>
      </c>
      <c r="F87" s="33">
        <v>2022</v>
      </c>
      <c r="G87" s="33">
        <v>3036682</v>
      </c>
      <c r="H87" s="33" t="s">
        <v>138</v>
      </c>
    </row>
    <row r="88" spans="1:8" ht="57.75" customHeight="1">
      <c r="A88" s="27">
        <v>3</v>
      </c>
      <c r="B88" s="33" t="s">
        <v>134</v>
      </c>
      <c r="C88" s="31" t="s">
        <v>1302</v>
      </c>
      <c r="D88" s="31" t="s">
        <v>1303</v>
      </c>
      <c r="E88" s="39" t="s">
        <v>1304</v>
      </c>
      <c r="F88" s="33">
        <v>2022</v>
      </c>
      <c r="G88" s="33">
        <v>3060245</v>
      </c>
      <c r="H88" s="33" t="s">
        <v>138</v>
      </c>
    </row>
    <row r="89" spans="1:8" ht="45" customHeight="1">
      <c r="A89" s="27">
        <v>4</v>
      </c>
      <c r="B89" s="33" t="s">
        <v>134</v>
      </c>
      <c r="C89" s="31" t="s">
        <v>1305</v>
      </c>
      <c r="D89" s="31" t="s">
        <v>1306</v>
      </c>
      <c r="E89" s="39" t="s">
        <v>1307</v>
      </c>
      <c r="F89" s="33">
        <v>2021</v>
      </c>
      <c r="G89" s="33">
        <v>2681878</v>
      </c>
      <c r="H89" s="33" t="s">
        <v>138</v>
      </c>
    </row>
    <row r="90" spans="1:8" ht="42" customHeight="1">
      <c r="A90" s="27">
        <v>5</v>
      </c>
      <c r="B90" s="33" t="s">
        <v>134</v>
      </c>
      <c r="C90" s="47" t="s">
        <v>1308</v>
      </c>
      <c r="D90" s="31" t="s">
        <v>1309</v>
      </c>
      <c r="E90" s="39" t="s">
        <v>1310</v>
      </c>
      <c r="F90" s="33">
        <v>2021</v>
      </c>
      <c r="G90" s="33">
        <v>2708136</v>
      </c>
      <c r="H90" s="33" t="s">
        <v>138</v>
      </c>
    </row>
    <row r="91" spans="1:8" ht="60" customHeight="1">
      <c r="A91" s="27">
        <v>6</v>
      </c>
      <c r="B91" s="33" t="s">
        <v>134</v>
      </c>
      <c r="C91" s="31" t="s">
        <v>312</v>
      </c>
      <c r="D91" s="31" t="s">
        <v>313</v>
      </c>
      <c r="E91" s="39" t="s">
        <v>314</v>
      </c>
      <c r="F91" s="33">
        <v>2020</v>
      </c>
      <c r="G91" s="33">
        <v>2292955</v>
      </c>
      <c r="H91" s="33" t="s">
        <v>138</v>
      </c>
    </row>
    <row r="92" spans="1:8" ht="45.75" customHeight="1">
      <c r="A92" s="27">
        <v>7</v>
      </c>
      <c r="B92" s="33" t="s">
        <v>134</v>
      </c>
      <c r="C92" s="31" t="s">
        <v>315</v>
      </c>
      <c r="D92" s="31" t="s">
        <v>316</v>
      </c>
      <c r="E92" s="39" t="s">
        <v>317</v>
      </c>
      <c r="F92" s="33">
        <v>2020</v>
      </c>
      <c r="G92" s="33">
        <v>2149100</v>
      </c>
      <c r="H92" s="33" t="s">
        <v>138</v>
      </c>
    </row>
    <row r="93" spans="1:8" ht="49.5" customHeight="1">
      <c r="A93" s="27">
        <v>8</v>
      </c>
      <c r="B93" s="33" t="s">
        <v>134</v>
      </c>
      <c r="C93" s="31" t="s">
        <v>318</v>
      </c>
      <c r="D93" s="31" t="s">
        <v>319</v>
      </c>
      <c r="E93" s="39" t="s">
        <v>320</v>
      </c>
      <c r="F93" s="33">
        <v>2020</v>
      </c>
      <c r="G93" s="33">
        <v>2318043</v>
      </c>
      <c r="H93" s="33" t="s">
        <v>138</v>
      </c>
    </row>
    <row r="94" spans="1:8" ht="60" customHeight="1">
      <c r="A94" s="27">
        <v>9</v>
      </c>
      <c r="B94" s="33" t="s">
        <v>134</v>
      </c>
      <c r="C94" s="31" t="s">
        <v>321</v>
      </c>
      <c r="D94" s="31" t="s">
        <v>322</v>
      </c>
      <c r="E94" s="39" t="s">
        <v>323</v>
      </c>
      <c r="F94" s="33">
        <v>2020</v>
      </c>
      <c r="G94" s="33">
        <v>2330266</v>
      </c>
      <c r="H94" s="33" t="s">
        <v>138</v>
      </c>
    </row>
    <row r="95" spans="1:8" ht="60" customHeight="1">
      <c r="A95" s="27">
        <v>10</v>
      </c>
      <c r="B95" s="33" t="s">
        <v>134</v>
      </c>
      <c r="C95" s="31" t="s">
        <v>312</v>
      </c>
      <c r="D95" s="31" t="s">
        <v>313</v>
      </c>
      <c r="E95" s="39" t="s">
        <v>324</v>
      </c>
      <c r="F95" s="33">
        <v>2020</v>
      </c>
      <c r="G95" s="33">
        <v>2292955</v>
      </c>
      <c r="H95" s="33" t="s">
        <v>138</v>
      </c>
    </row>
    <row r="96" spans="1:8" ht="32.25" customHeight="1">
      <c r="A96" s="27">
        <v>11</v>
      </c>
      <c r="B96" s="33" t="s">
        <v>134</v>
      </c>
      <c r="C96" s="31" t="s">
        <v>325</v>
      </c>
      <c r="D96" s="31" t="s">
        <v>326</v>
      </c>
      <c r="E96" s="39" t="s">
        <v>327</v>
      </c>
      <c r="F96" s="33">
        <v>2020</v>
      </c>
      <c r="G96" s="33">
        <v>2395899</v>
      </c>
      <c r="H96" s="33" t="s">
        <v>138</v>
      </c>
    </row>
    <row r="97" spans="1:8" ht="60" customHeight="1">
      <c r="A97" s="27">
        <v>12</v>
      </c>
      <c r="B97" s="33" t="s">
        <v>134</v>
      </c>
      <c r="C97" s="31" t="s">
        <v>321</v>
      </c>
      <c r="D97" s="31" t="s">
        <v>322</v>
      </c>
      <c r="E97" s="39" t="s">
        <v>328</v>
      </c>
      <c r="F97" s="33">
        <v>2020</v>
      </c>
      <c r="G97" s="33">
        <v>2330266</v>
      </c>
      <c r="H97" s="33" t="s">
        <v>138</v>
      </c>
    </row>
    <row r="98" spans="1:8" ht="30" customHeight="1">
      <c r="A98" s="48">
        <v>13</v>
      </c>
      <c r="B98" s="33" t="s">
        <v>134</v>
      </c>
      <c r="C98" s="49" t="s">
        <v>315</v>
      </c>
      <c r="D98" s="50" t="s">
        <v>316</v>
      </c>
      <c r="E98" s="39" t="s">
        <v>329</v>
      </c>
      <c r="F98" s="51">
        <v>2020</v>
      </c>
      <c r="G98" s="51">
        <v>2149100</v>
      </c>
      <c r="H98" s="51">
        <v>1</v>
      </c>
    </row>
    <row r="99" spans="1:8" ht="59.25" customHeight="1">
      <c r="A99" s="48">
        <v>14</v>
      </c>
      <c r="B99" s="33" t="s">
        <v>134</v>
      </c>
      <c r="C99" s="51" t="s">
        <v>312</v>
      </c>
      <c r="D99" s="52" t="s">
        <v>330</v>
      </c>
      <c r="E99" s="39" t="s">
        <v>331</v>
      </c>
      <c r="F99" s="51">
        <v>2020</v>
      </c>
      <c r="G99" s="51">
        <v>2292955</v>
      </c>
      <c r="H99" s="51">
        <v>1</v>
      </c>
    </row>
    <row r="100" spans="1:8" ht="33" customHeight="1">
      <c r="A100" s="48">
        <v>15</v>
      </c>
      <c r="B100" s="33" t="s">
        <v>134</v>
      </c>
      <c r="C100" s="53" t="s">
        <v>318</v>
      </c>
      <c r="D100" s="52" t="s">
        <v>319</v>
      </c>
      <c r="E100" s="39" t="s">
        <v>332</v>
      </c>
      <c r="F100" s="51">
        <v>2020</v>
      </c>
      <c r="G100" s="51">
        <v>2318043</v>
      </c>
      <c r="H100" s="51">
        <v>1</v>
      </c>
    </row>
    <row r="102" spans="1:8" s="2" customFormat="1" ht="17.25">
      <c r="A102" s="54" t="s">
        <v>389</v>
      </c>
      <c r="B102" s="54"/>
      <c r="C102" s="54"/>
      <c r="D102" s="55"/>
      <c r="E102" s="54"/>
    </row>
    <row r="103" spans="1:8" s="2" customFormat="1" ht="33">
      <c r="A103" s="24" t="s">
        <v>127</v>
      </c>
      <c r="B103" s="25" t="s">
        <v>128</v>
      </c>
      <c r="C103" s="25" t="s">
        <v>129</v>
      </c>
      <c r="D103" s="25" t="s">
        <v>1</v>
      </c>
      <c r="E103" s="25" t="s">
        <v>130</v>
      </c>
      <c r="F103" s="25" t="s">
        <v>131</v>
      </c>
      <c r="G103" s="25" t="s">
        <v>132</v>
      </c>
      <c r="H103" s="25" t="s">
        <v>133</v>
      </c>
    </row>
    <row r="104" spans="1:8" s="3" customFormat="1" ht="60">
      <c r="A104" s="27">
        <v>1</v>
      </c>
      <c r="B104" s="28" t="s">
        <v>1284</v>
      </c>
      <c r="C104" s="28" t="s">
        <v>1311</v>
      </c>
      <c r="D104" s="28" t="s">
        <v>1312</v>
      </c>
      <c r="E104" s="28"/>
      <c r="F104" s="28">
        <v>2024</v>
      </c>
      <c r="G104" s="28" t="s">
        <v>1283</v>
      </c>
      <c r="H104" s="28">
        <v>1</v>
      </c>
    </row>
    <row r="105" spans="1:8" s="3" customFormat="1" ht="60">
      <c r="A105" s="27">
        <v>2</v>
      </c>
      <c r="B105" s="28" t="s">
        <v>1313</v>
      </c>
      <c r="C105" s="28" t="s">
        <v>1314</v>
      </c>
      <c r="D105" s="28" t="s">
        <v>1315</v>
      </c>
      <c r="E105" s="28"/>
      <c r="F105" s="28">
        <v>2023</v>
      </c>
      <c r="G105" s="28" t="s">
        <v>1283</v>
      </c>
      <c r="H105" s="28">
        <v>1</v>
      </c>
    </row>
    <row r="106" spans="1:8" ht="60.75" customHeight="1">
      <c r="A106" s="27">
        <v>3</v>
      </c>
      <c r="B106" s="33" t="s">
        <v>390</v>
      </c>
      <c r="C106" s="31" t="s">
        <v>391</v>
      </c>
      <c r="D106" s="31" t="s">
        <v>392</v>
      </c>
      <c r="E106" s="39"/>
      <c r="F106" s="33">
        <v>2019</v>
      </c>
      <c r="G106" s="33" t="s">
        <v>393</v>
      </c>
      <c r="H106" s="33">
        <v>1</v>
      </c>
    </row>
    <row r="107" spans="1:8" ht="66" customHeight="1">
      <c r="A107" s="27">
        <v>4</v>
      </c>
      <c r="B107" s="30" t="s">
        <v>390</v>
      </c>
      <c r="C107" s="56" t="s">
        <v>391</v>
      </c>
      <c r="D107" s="29" t="s">
        <v>392</v>
      </c>
      <c r="E107" s="56"/>
      <c r="F107" s="28">
        <v>2019</v>
      </c>
      <c r="G107" s="28" t="s">
        <v>393</v>
      </c>
      <c r="H107" s="28">
        <v>1</v>
      </c>
    </row>
    <row r="108" spans="1:8" ht="41.25" customHeight="1">
      <c r="A108" s="57">
        <v>5</v>
      </c>
      <c r="B108" s="33" t="s">
        <v>134</v>
      </c>
      <c r="C108" s="31" t="s">
        <v>394</v>
      </c>
      <c r="D108" s="31" t="s">
        <v>395</v>
      </c>
      <c r="E108" s="39" t="s">
        <v>1316</v>
      </c>
      <c r="F108" s="33">
        <v>2020</v>
      </c>
      <c r="G108" s="33">
        <v>2461001</v>
      </c>
      <c r="H108" s="33" t="s">
        <v>138</v>
      </c>
    </row>
    <row r="111" spans="1:8" s="2" customFormat="1" ht="17.25">
      <c r="A111" s="310" t="s">
        <v>406</v>
      </c>
      <c r="B111" s="310"/>
      <c r="C111" s="310"/>
      <c r="D111" s="310"/>
      <c r="E111" s="310"/>
      <c r="F111" s="310"/>
    </row>
    <row r="112" spans="1:8" s="2" customFormat="1" ht="33">
      <c r="A112" s="24" t="s">
        <v>127</v>
      </c>
      <c r="B112" s="25" t="s">
        <v>128</v>
      </c>
      <c r="C112" s="25" t="s">
        <v>129</v>
      </c>
      <c r="D112" s="25" t="s">
        <v>1</v>
      </c>
      <c r="E112" s="25" t="s">
        <v>130</v>
      </c>
      <c r="F112" s="25" t="s">
        <v>131</v>
      </c>
      <c r="G112" s="25" t="s">
        <v>132</v>
      </c>
      <c r="H112" s="25" t="s">
        <v>133</v>
      </c>
    </row>
    <row r="113" spans="1:8" ht="42" customHeight="1">
      <c r="A113" s="27"/>
      <c r="B113" s="33"/>
      <c r="C113" s="31"/>
      <c r="D113" s="31"/>
      <c r="E113" s="39"/>
      <c r="F113" s="33"/>
      <c r="G113" s="33"/>
      <c r="H113" s="33"/>
    </row>
    <row r="116" spans="1:8" s="2" customFormat="1" ht="17.25">
      <c r="A116" s="36" t="s">
        <v>442</v>
      </c>
      <c r="D116" s="46"/>
    </row>
    <row r="117" spans="1:8" s="2" customFormat="1" ht="33">
      <c r="A117" s="24" t="s">
        <v>127</v>
      </c>
      <c r="B117" s="25" t="s">
        <v>128</v>
      </c>
      <c r="C117" s="25" t="s">
        <v>129</v>
      </c>
      <c r="D117" s="25" t="s">
        <v>1</v>
      </c>
      <c r="E117" s="25" t="s">
        <v>130</v>
      </c>
      <c r="F117" s="25" t="s">
        <v>131</v>
      </c>
      <c r="G117" s="25" t="s">
        <v>132</v>
      </c>
      <c r="H117" s="25" t="s">
        <v>133</v>
      </c>
    </row>
    <row r="118" spans="1:8" ht="75">
      <c r="A118" s="58">
        <v>1</v>
      </c>
      <c r="B118" s="30" t="s">
        <v>453</v>
      </c>
      <c r="C118" s="29" t="s">
        <v>454</v>
      </c>
      <c r="D118" s="29" t="s">
        <v>455</v>
      </c>
      <c r="E118" s="30"/>
      <c r="F118" s="28">
        <v>2019</v>
      </c>
      <c r="G118" s="59" t="s">
        <v>456</v>
      </c>
      <c r="H118" s="27">
        <v>3</v>
      </c>
    </row>
    <row r="119" spans="1:8" ht="57" customHeight="1">
      <c r="A119" s="58">
        <v>2</v>
      </c>
      <c r="B119" s="59" t="s">
        <v>134</v>
      </c>
      <c r="C119" s="60" t="s">
        <v>462</v>
      </c>
      <c r="D119" s="59" t="s">
        <v>463</v>
      </c>
      <c r="E119" s="39" t="s">
        <v>464</v>
      </c>
      <c r="F119" s="58" t="s">
        <v>465</v>
      </c>
      <c r="G119" s="58">
        <v>2091592</v>
      </c>
      <c r="H119" s="59">
        <v>1</v>
      </c>
    </row>
    <row r="124" spans="1:8" s="1" customFormat="1" ht="18.75">
      <c r="A124" s="18" t="s">
        <v>1317</v>
      </c>
      <c r="D124" s="20"/>
    </row>
    <row r="126" spans="1:8" s="4" customFormat="1" ht="16.5">
      <c r="A126" s="54" t="s">
        <v>469</v>
      </c>
      <c r="D126" s="61"/>
    </row>
    <row r="127" spans="1:8" s="4" customFormat="1" ht="33">
      <c r="A127" s="24" t="s">
        <v>127</v>
      </c>
      <c r="B127" s="25" t="s">
        <v>128</v>
      </c>
      <c r="C127" s="25" t="s">
        <v>129</v>
      </c>
      <c r="D127" s="25" t="s">
        <v>1</v>
      </c>
      <c r="E127" s="25"/>
      <c r="F127" s="25" t="s">
        <v>131</v>
      </c>
      <c r="G127" s="25" t="s">
        <v>132</v>
      </c>
      <c r="H127" s="25" t="s">
        <v>133</v>
      </c>
    </row>
    <row r="128" spans="1:8" s="5" customFormat="1" ht="60">
      <c r="A128" s="27">
        <v>1</v>
      </c>
      <c r="B128" s="28" t="s">
        <v>1318</v>
      </c>
      <c r="C128" s="28" t="s">
        <v>1319</v>
      </c>
      <c r="D128" s="28" t="s">
        <v>1320</v>
      </c>
      <c r="E128" s="28"/>
      <c r="F128" s="28">
        <v>2024</v>
      </c>
      <c r="G128" s="28" t="s">
        <v>1283</v>
      </c>
      <c r="H128" s="28">
        <v>5</v>
      </c>
    </row>
    <row r="129" spans="1:8" ht="60" customHeight="1">
      <c r="A129" s="27">
        <v>2</v>
      </c>
      <c r="B129" s="28" t="s">
        <v>485</v>
      </c>
      <c r="C129" s="29" t="s">
        <v>486</v>
      </c>
      <c r="D129" s="29" t="s">
        <v>487</v>
      </c>
      <c r="E129" s="62"/>
      <c r="F129" s="28">
        <v>2019</v>
      </c>
      <c r="G129" s="28" t="s">
        <v>488</v>
      </c>
      <c r="H129" s="28">
        <v>3</v>
      </c>
    </row>
    <row r="130" spans="1:8" ht="105">
      <c r="A130" s="27">
        <v>3</v>
      </c>
      <c r="B130" s="33" t="s">
        <v>134</v>
      </c>
      <c r="C130" s="31" t="s">
        <v>470</v>
      </c>
      <c r="D130" s="31" t="s">
        <v>471</v>
      </c>
      <c r="E130" s="39" t="s">
        <v>472</v>
      </c>
      <c r="F130" s="33">
        <v>2022</v>
      </c>
      <c r="G130" s="33">
        <v>3153499</v>
      </c>
      <c r="H130" s="33" t="s">
        <v>138</v>
      </c>
    </row>
    <row r="131" spans="1:8" ht="62.25" customHeight="1">
      <c r="A131" s="27">
        <v>4</v>
      </c>
      <c r="B131" s="33" t="s">
        <v>134</v>
      </c>
      <c r="C131" s="31" t="s">
        <v>473</v>
      </c>
      <c r="D131" s="31" t="s">
        <v>474</v>
      </c>
      <c r="E131" s="39" t="s">
        <v>475</v>
      </c>
      <c r="F131" s="33">
        <v>2021</v>
      </c>
      <c r="G131" s="33">
        <v>2684865</v>
      </c>
      <c r="H131" s="33" t="s">
        <v>138</v>
      </c>
    </row>
    <row r="132" spans="1:8" ht="60" customHeight="1">
      <c r="A132" s="27">
        <v>5</v>
      </c>
      <c r="B132" s="33" t="s">
        <v>134</v>
      </c>
      <c r="C132" s="31" t="s">
        <v>476</v>
      </c>
      <c r="D132" s="31" t="s">
        <v>477</v>
      </c>
      <c r="E132" s="39" t="s">
        <v>478</v>
      </c>
      <c r="F132" s="33">
        <v>2021</v>
      </c>
      <c r="G132" s="33">
        <v>2899516</v>
      </c>
      <c r="H132" s="33" t="s">
        <v>138</v>
      </c>
    </row>
    <row r="133" spans="1:8" ht="60" customHeight="1">
      <c r="A133" s="27">
        <v>6</v>
      </c>
      <c r="B133" s="33" t="s">
        <v>134</v>
      </c>
      <c r="C133" s="31" t="s">
        <v>1321</v>
      </c>
      <c r="D133" s="31" t="s">
        <v>1322</v>
      </c>
      <c r="E133" s="39" t="s">
        <v>1323</v>
      </c>
      <c r="F133" s="33">
        <v>2021</v>
      </c>
      <c r="G133" s="33">
        <v>2956821</v>
      </c>
      <c r="H133" s="33" t="s">
        <v>138</v>
      </c>
    </row>
    <row r="134" spans="1:8" ht="60" customHeight="1">
      <c r="A134" s="27">
        <v>7</v>
      </c>
      <c r="B134" s="33"/>
      <c r="C134" s="31" t="s">
        <v>1324</v>
      </c>
      <c r="D134" s="31" t="s">
        <v>1325</v>
      </c>
      <c r="E134" s="39" t="s">
        <v>1326</v>
      </c>
      <c r="F134" s="33">
        <v>2021</v>
      </c>
      <c r="G134" s="33">
        <v>3051901</v>
      </c>
      <c r="H134" s="33" t="s">
        <v>138</v>
      </c>
    </row>
    <row r="135" spans="1:8" ht="60" customHeight="1">
      <c r="A135" s="27">
        <v>8</v>
      </c>
      <c r="B135" s="33" t="s">
        <v>134</v>
      </c>
      <c r="C135" s="31" t="s">
        <v>479</v>
      </c>
      <c r="D135" s="31" t="s">
        <v>480</v>
      </c>
      <c r="E135" s="39" t="s">
        <v>481</v>
      </c>
      <c r="F135" s="33">
        <v>2021</v>
      </c>
      <c r="G135" s="33">
        <v>3017775</v>
      </c>
      <c r="H135" s="33" t="s">
        <v>138</v>
      </c>
    </row>
    <row r="136" spans="1:8" ht="60" customHeight="1">
      <c r="A136" s="27">
        <v>9</v>
      </c>
      <c r="B136" s="33"/>
      <c r="C136" s="31" t="s">
        <v>1327</v>
      </c>
      <c r="D136" s="31" t="s">
        <v>1328</v>
      </c>
      <c r="E136" s="39" t="s">
        <v>1329</v>
      </c>
      <c r="F136" s="33">
        <v>2020</v>
      </c>
      <c r="G136" s="33">
        <v>2422274</v>
      </c>
      <c r="H136" s="33" t="s">
        <v>138</v>
      </c>
    </row>
    <row r="137" spans="1:8" ht="60" customHeight="1">
      <c r="A137" s="27">
        <v>10</v>
      </c>
      <c r="B137" s="33"/>
      <c r="C137" s="31" t="s">
        <v>1330</v>
      </c>
      <c r="D137" s="31" t="s">
        <v>1331</v>
      </c>
      <c r="E137" s="39" t="s">
        <v>1332</v>
      </c>
      <c r="F137" s="33">
        <v>2020</v>
      </c>
      <c r="G137" s="33">
        <v>2379374</v>
      </c>
      <c r="H137" s="33" t="s">
        <v>138</v>
      </c>
    </row>
    <row r="138" spans="1:8" ht="60" customHeight="1">
      <c r="A138" s="27">
        <v>11</v>
      </c>
      <c r="B138" s="28" t="s">
        <v>134</v>
      </c>
      <c r="C138" s="29" t="s">
        <v>482</v>
      </c>
      <c r="D138" s="29" t="s">
        <v>483</v>
      </c>
      <c r="E138" s="63" t="s">
        <v>484</v>
      </c>
      <c r="F138" s="28">
        <v>2019</v>
      </c>
      <c r="G138" s="28">
        <v>2228937</v>
      </c>
      <c r="H138" s="28">
        <v>1</v>
      </c>
    </row>
    <row r="141" spans="1:8" s="4" customFormat="1" ht="16.5">
      <c r="A141" s="22" t="s">
        <v>490</v>
      </c>
      <c r="B141" s="22"/>
      <c r="C141" s="36"/>
      <c r="D141" s="64"/>
      <c r="E141" s="65"/>
      <c r="F141" s="22"/>
      <c r="G141" s="22"/>
      <c r="H141" s="65"/>
    </row>
    <row r="142" spans="1:8" s="4" customFormat="1" ht="33">
      <c r="A142" s="24" t="s">
        <v>127</v>
      </c>
      <c r="B142" s="25" t="s">
        <v>128</v>
      </c>
      <c r="C142" s="25" t="s">
        <v>129</v>
      </c>
      <c r="D142" s="25" t="s">
        <v>1</v>
      </c>
      <c r="E142" s="25" t="s">
        <v>130</v>
      </c>
      <c r="F142" s="25" t="s">
        <v>131</v>
      </c>
      <c r="G142" s="25" t="s">
        <v>132</v>
      </c>
      <c r="H142" s="25" t="s">
        <v>133</v>
      </c>
    </row>
    <row r="143" spans="1:8" s="5" customFormat="1" ht="36" customHeight="1">
      <c r="A143" s="27">
        <v>1</v>
      </c>
      <c r="B143" s="28" t="s">
        <v>134</v>
      </c>
      <c r="C143" s="29" t="s">
        <v>1333</v>
      </c>
      <c r="D143" s="29" t="s">
        <v>1334</v>
      </c>
      <c r="E143" s="66" t="s">
        <v>1335</v>
      </c>
      <c r="F143" s="28">
        <v>2022</v>
      </c>
      <c r="G143" s="28">
        <v>3171159</v>
      </c>
      <c r="H143" s="28" t="s">
        <v>138</v>
      </c>
    </row>
    <row r="144" spans="1:8" s="5" customFormat="1" ht="51" customHeight="1">
      <c r="A144" s="27">
        <v>2</v>
      </c>
      <c r="B144" s="28" t="s">
        <v>134</v>
      </c>
      <c r="C144" s="29" t="s">
        <v>1336</v>
      </c>
      <c r="D144" s="29" t="s">
        <v>1337</v>
      </c>
      <c r="E144" s="63" t="s">
        <v>1338</v>
      </c>
      <c r="F144" s="28" t="s">
        <v>1339</v>
      </c>
      <c r="G144" s="28">
        <v>3111898</v>
      </c>
      <c r="H144" s="28" t="s">
        <v>138</v>
      </c>
    </row>
    <row r="145" spans="1:8" s="5" customFormat="1" ht="51" customHeight="1">
      <c r="A145" s="27">
        <v>3</v>
      </c>
      <c r="B145" s="28" t="s">
        <v>134</v>
      </c>
      <c r="C145" s="29" t="s">
        <v>1340</v>
      </c>
      <c r="D145" s="29" t="s">
        <v>1341</v>
      </c>
      <c r="E145" s="63" t="s">
        <v>1342</v>
      </c>
      <c r="F145" s="28">
        <v>2022</v>
      </c>
      <c r="G145" s="28">
        <v>3197893</v>
      </c>
      <c r="H145" s="28" t="s">
        <v>138</v>
      </c>
    </row>
    <row r="146" spans="1:8" s="5" customFormat="1" ht="51" customHeight="1">
      <c r="A146" s="27">
        <v>4</v>
      </c>
      <c r="B146" s="28" t="s">
        <v>134</v>
      </c>
      <c r="C146" s="29" t="s">
        <v>1343</v>
      </c>
      <c r="D146" s="29" t="s">
        <v>1344</v>
      </c>
      <c r="E146" s="63" t="s">
        <v>1345</v>
      </c>
      <c r="F146" s="28">
        <v>2022</v>
      </c>
      <c r="G146" s="28">
        <v>3127211</v>
      </c>
      <c r="H146" s="28" t="s">
        <v>138</v>
      </c>
    </row>
    <row r="147" spans="1:8" s="5" customFormat="1" ht="51" customHeight="1">
      <c r="A147" s="27">
        <v>5</v>
      </c>
      <c r="B147" s="28" t="s">
        <v>134</v>
      </c>
      <c r="C147" s="29" t="s">
        <v>1346</v>
      </c>
      <c r="D147" s="29" t="s">
        <v>1347</v>
      </c>
      <c r="E147" s="63" t="s">
        <v>1348</v>
      </c>
      <c r="F147" s="28">
        <v>2022</v>
      </c>
      <c r="G147" s="28">
        <v>3077344</v>
      </c>
      <c r="H147" s="28" t="s">
        <v>138</v>
      </c>
    </row>
    <row r="148" spans="1:8" ht="45" customHeight="1">
      <c r="A148" s="27">
        <v>6</v>
      </c>
      <c r="B148" s="28" t="s">
        <v>134</v>
      </c>
      <c r="C148" s="29" t="s">
        <v>491</v>
      </c>
      <c r="D148" s="29" t="s">
        <v>492</v>
      </c>
      <c r="E148" s="63" t="s">
        <v>493</v>
      </c>
      <c r="F148" s="28">
        <v>2021</v>
      </c>
      <c r="G148" s="44">
        <v>3125072</v>
      </c>
      <c r="H148" s="28" t="s">
        <v>138</v>
      </c>
    </row>
    <row r="149" spans="1:8" ht="46.5" customHeight="1">
      <c r="A149" s="27">
        <v>7</v>
      </c>
      <c r="B149" s="28" t="s">
        <v>134</v>
      </c>
      <c r="C149" s="29" t="s">
        <v>494</v>
      </c>
      <c r="D149" s="29" t="s">
        <v>495</v>
      </c>
      <c r="E149" s="63" t="s">
        <v>496</v>
      </c>
      <c r="F149" s="28">
        <v>2021</v>
      </c>
      <c r="G149" s="44">
        <v>2700028</v>
      </c>
      <c r="H149" s="28" t="s">
        <v>138</v>
      </c>
    </row>
    <row r="150" spans="1:8" ht="63" customHeight="1">
      <c r="A150" s="27">
        <v>8</v>
      </c>
      <c r="B150" s="28" t="s">
        <v>134</v>
      </c>
      <c r="C150" s="29" t="s">
        <v>497</v>
      </c>
      <c r="D150" s="29" t="s">
        <v>498</v>
      </c>
      <c r="E150" s="63" t="s">
        <v>499</v>
      </c>
      <c r="F150" s="28">
        <v>2020</v>
      </c>
      <c r="G150" s="44">
        <v>2489371</v>
      </c>
      <c r="H150" s="28" t="s">
        <v>138</v>
      </c>
    </row>
    <row r="153" spans="1:8" s="2" customFormat="1" ht="17.25">
      <c r="A153" s="22" t="s">
        <v>517</v>
      </c>
      <c r="B153" s="22"/>
      <c r="C153" s="36"/>
      <c r="D153" s="64"/>
      <c r="E153" s="65"/>
      <c r="F153" s="22"/>
      <c r="G153" s="22"/>
      <c r="H153" s="65"/>
    </row>
    <row r="154" spans="1:8" s="2" customFormat="1" ht="33">
      <c r="A154" s="24" t="s">
        <v>127</v>
      </c>
      <c r="B154" s="25" t="s">
        <v>128</v>
      </c>
      <c r="C154" s="25" t="s">
        <v>129</v>
      </c>
      <c r="D154" s="25" t="s">
        <v>1</v>
      </c>
      <c r="E154" s="25" t="s">
        <v>130</v>
      </c>
      <c r="F154" s="25" t="s">
        <v>131</v>
      </c>
      <c r="G154" s="25" t="s">
        <v>132</v>
      </c>
      <c r="H154" s="25" t="s">
        <v>133</v>
      </c>
    </row>
    <row r="155" spans="1:8" s="3" customFormat="1" ht="60">
      <c r="A155" s="27">
        <v>1</v>
      </c>
      <c r="B155" s="28" t="s">
        <v>1349</v>
      </c>
      <c r="C155" s="28" t="s">
        <v>1350</v>
      </c>
      <c r="D155" s="28" t="s">
        <v>1351</v>
      </c>
      <c r="E155" s="28"/>
      <c r="F155" s="28">
        <v>2024</v>
      </c>
      <c r="G155" s="28" t="s">
        <v>1283</v>
      </c>
      <c r="H155" s="28">
        <v>5</v>
      </c>
    </row>
    <row r="156" spans="1:8" s="3" customFormat="1" ht="45">
      <c r="A156" s="27">
        <v>2</v>
      </c>
      <c r="B156" s="28" t="s">
        <v>1352</v>
      </c>
      <c r="C156" s="28" t="s">
        <v>1353</v>
      </c>
      <c r="D156" s="28" t="s">
        <v>1354</v>
      </c>
      <c r="E156" s="28"/>
      <c r="F156" s="28">
        <v>2024</v>
      </c>
      <c r="G156" s="28" t="s">
        <v>1283</v>
      </c>
      <c r="H156" s="28">
        <v>5</v>
      </c>
    </row>
    <row r="157" spans="1:8" ht="60">
      <c r="A157" s="27">
        <v>3</v>
      </c>
      <c r="B157" s="30" t="s">
        <v>518</v>
      </c>
      <c r="C157" s="29" t="s">
        <v>519</v>
      </c>
      <c r="D157" s="29" t="s">
        <v>520</v>
      </c>
      <c r="E157" s="30"/>
      <c r="F157" s="28">
        <v>2019</v>
      </c>
      <c r="G157" s="28" t="s">
        <v>521</v>
      </c>
      <c r="H157" s="28">
        <v>2</v>
      </c>
    </row>
    <row r="158" spans="1:8" ht="60">
      <c r="A158" s="27">
        <v>4</v>
      </c>
      <c r="B158" s="30" t="s">
        <v>522</v>
      </c>
      <c r="C158" s="29" t="s">
        <v>523</v>
      </c>
      <c r="D158" s="29" t="s">
        <v>524</v>
      </c>
      <c r="E158" s="30"/>
      <c r="F158" s="28">
        <v>2019</v>
      </c>
      <c r="G158" s="28" t="s">
        <v>525</v>
      </c>
      <c r="H158" s="28">
        <v>3</v>
      </c>
    </row>
    <row r="162" spans="1:8" s="2" customFormat="1" ht="17.25">
      <c r="A162" s="310" t="s">
        <v>595</v>
      </c>
      <c r="B162" s="310"/>
      <c r="C162" s="310"/>
      <c r="D162" s="310"/>
      <c r="E162" s="310"/>
      <c r="F162" s="310"/>
    </row>
    <row r="163" spans="1:8" s="2" customFormat="1" ht="33">
      <c r="A163" s="24" t="s">
        <v>127</v>
      </c>
      <c r="B163" s="25" t="s">
        <v>128</v>
      </c>
      <c r="C163" s="25" t="s">
        <v>129</v>
      </c>
      <c r="D163" s="25" t="s">
        <v>1</v>
      </c>
      <c r="E163" s="67" t="s">
        <v>130</v>
      </c>
      <c r="F163" s="25" t="s">
        <v>131</v>
      </c>
      <c r="G163" s="25" t="s">
        <v>132</v>
      </c>
      <c r="H163" s="25" t="s">
        <v>133</v>
      </c>
    </row>
    <row r="164" spans="1:8" ht="59.25" customHeight="1">
      <c r="A164" s="27">
        <v>1</v>
      </c>
      <c r="B164" s="28" t="s">
        <v>134</v>
      </c>
      <c r="C164" s="29" t="s">
        <v>491</v>
      </c>
      <c r="D164" s="29" t="s">
        <v>492</v>
      </c>
      <c r="E164" s="63" t="s">
        <v>493</v>
      </c>
      <c r="F164" s="28">
        <v>2021</v>
      </c>
      <c r="G164" s="44">
        <v>3125072</v>
      </c>
      <c r="H164" s="28" t="s">
        <v>138</v>
      </c>
    </row>
    <row r="165" spans="1:8" ht="42" customHeight="1">
      <c r="A165" s="27">
        <v>2</v>
      </c>
      <c r="B165" s="28" t="s">
        <v>134</v>
      </c>
      <c r="C165" s="29" t="s">
        <v>494</v>
      </c>
      <c r="D165" s="29" t="s">
        <v>495</v>
      </c>
      <c r="E165" s="63" t="s">
        <v>496</v>
      </c>
      <c r="F165" s="28">
        <v>2021</v>
      </c>
      <c r="G165" s="44">
        <v>2700028</v>
      </c>
      <c r="H165" s="28" t="s">
        <v>138</v>
      </c>
    </row>
    <row r="166" spans="1:8" s="6" customFormat="1" ht="44.1" customHeight="1">
      <c r="A166" s="28">
        <v>3</v>
      </c>
      <c r="B166" s="28" t="s">
        <v>134</v>
      </c>
      <c r="C166" s="29" t="s">
        <v>1355</v>
      </c>
      <c r="D166" s="29" t="s">
        <v>1356</v>
      </c>
      <c r="E166" s="63" t="s">
        <v>1357</v>
      </c>
      <c r="F166" s="28">
        <v>2020</v>
      </c>
      <c r="G166" s="44">
        <v>2324311</v>
      </c>
      <c r="H166" s="28" t="s">
        <v>138</v>
      </c>
    </row>
    <row r="167" spans="1:8" ht="62.25" customHeight="1">
      <c r="A167" s="27">
        <v>4</v>
      </c>
      <c r="B167" s="28" t="s">
        <v>134</v>
      </c>
      <c r="C167" s="29" t="s">
        <v>1358</v>
      </c>
      <c r="D167" s="29" t="s">
        <v>1359</v>
      </c>
      <c r="E167" s="63" t="s">
        <v>1360</v>
      </c>
      <c r="F167" s="28">
        <v>2020</v>
      </c>
      <c r="G167" s="44">
        <v>2601056</v>
      </c>
      <c r="H167" s="28" t="s">
        <v>138</v>
      </c>
    </row>
    <row r="168" spans="1:8" ht="62.25" customHeight="1">
      <c r="A168" s="27">
        <v>5</v>
      </c>
      <c r="B168" s="28" t="s">
        <v>134</v>
      </c>
      <c r="C168" s="29" t="s">
        <v>1361</v>
      </c>
      <c r="D168" s="29" t="s">
        <v>1362</v>
      </c>
      <c r="E168" s="63" t="s">
        <v>1363</v>
      </c>
      <c r="F168" s="28">
        <v>2020</v>
      </c>
      <c r="G168" s="44">
        <v>2568330</v>
      </c>
      <c r="H168" s="28" t="s">
        <v>138</v>
      </c>
    </row>
    <row r="169" spans="1:8" ht="62.25" customHeight="1">
      <c r="A169" s="35"/>
      <c r="B169" s="68"/>
      <c r="C169" s="34"/>
      <c r="D169" s="34"/>
      <c r="E169" s="69"/>
      <c r="F169" s="68"/>
      <c r="G169" s="70"/>
      <c r="H169" s="68"/>
    </row>
    <row r="171" spans="1:8" ht="15.75">
      <c r="A171" s="21" t="s">
        <v>597</v>
      </c>
    </row>
    <row r="172" spans="1:8" ht="25.5">
      <c r="A172" s="71" t="s">
        <v>127</v>
      </c>
      <c r="B172" s="67" t="s">
        <v>128</v>
      </c>
      <c r="C172" s="67" t="s">
        <v>129</v>
      </c>
      <c r="D172" s="67" t="s">
        <v>1</v>
      </c>
      <c r="E172" s="67" t="s">
        <v>130</v>
      </c>
      <c r="F172" s="72" t="s">
        <v>131</v>
      </c>
      <c r="G172" s="72" t="s">
        <v>132</v>
      </c>
      <c r="H172" s="72" t="s">
        <v>133</v>
      </c>
    </row>
    <row r="173" spans="1:8" ht="51" customHeight="1">
      <c r="A173" s="27">
        <v>1</v>
      </c>
      <c r="B173" s="27" t="s">
        <v>134</v>
      </c>
      <c r="C173" s="29" t="s">
        <v>600</v>
      </c>
      <c r="D173" s="29" t="s">
        <v>601</v>
      </c>
      <c r="E173" s="66" t="s">
        <v>602</v>
      </c>
      <c r="F173" s="28">
        <v>2020</v>
      </c>
      <c r="G173" s="28">
        <v>1103145</v>
      </c>
      <c r="H173" s="28" t="s">
        <v>138</v>
      </c>
    </row>
    <row r="174" spans="1:8" ht="50.25" customHeight="1">
      <c r="A174" s="27">
        <v>2</v>
      </c>
      <c r="B174" s="27" t="s">
        <v>134</v>
      </c>
      <c r="C174" s="29" t="s">
        <v>603</v>
      </c>
      <c r="D174" s="29" t="s">
        <v>604</v>
      </c>
      <c r="E174" s="73" t="s">
        <v>605</v>
      </c>
      <c r="F174" s="28">
        <v>2020</v>
      </c>
      <c r="G174" s="28">
        <v>1103144</v>
      </c>
      <c r="H174" s="28" t="s">
        <v>138</v>
      </c>
    </row>
    <row r="175" spans="1:8">
      <c r="A175" s="74"/>
      <c r="C175" s="75"/>
      <c r="D175" s="74"/>
      <c r="F175" s="74"/>
      <c r="G175" s="74"/>
    </row>
    <row r="176" spans="1:8">
      <c r="A176" s="74"/>
      <c r="C176" s="75"/>
      <c r="D176" s="74"/>
    </row>
    <row r="177" spans="1:8" ht="30.95" customHeight="1">
      <c r="A177" s="318" t="s">
        <v>612</v>
      </c>
      <c r="B177" s="318"/>
      <c r="C177" s="318"/>
      <c r="D177" s="318"/>
      <c r="E177" s="318"/>
      <c r="F177" s="318"/>
      <c r="G177" s="318"/>
      <c r="H177" s="318"/>
    </row>
    <row r="178" spans="1:8" s="2" customFormat="1" ht="33">
      <c r="A178" s="24" t="s">
        <v>127</v>
      </c>
      <c r="B178" s="25" t="s">
        <v>128</v>
      </c>
      <c r="C178" s="25" t="s">
        <v>129</v>
      </c>
      <c r="D178" s="25" t="s">
        <v>1</v>
      </c>
      <c r="E178" s="25" t="s">
        <v>130</v>
      </c>
      <c r="F178" s="25" t="s">
        <v>131</v>
      </c>
      <c r="G178" s="25" t="s">
        <v>132</v>
      </c>
      <c r="H178" s="25" t="s">
        <v>133</v>
      </c>
    </row>
    <row r="179" spans="1:8" s="7" customFormat="1" ht="69.75" customHeight="1">
      <c r="A179" s="27">
        <v>1</v>
      </c>
      <c r="B179" s="28" t="s">
        <v>134</v>
      </c>
      <c r="C179" s="29" t="s">
        <v>613</v>
      </c>
      <c r="D179" s="29" t="s">
        <v>614</v>
      </c>
      <c r="E179" s="76" t="s">
        <v>615</v>
      </c>
      <c r="F179" s="28">
        <v>2020</v>
      </c>
      <c r="G179" s="28">
        <v>2727840</v>
      </c>
      <c r="H179" s="28" t="s">
        <v>138</v>
      </c>
    </row>
    <row r="182" spans="1:8" s="2" customFormat="1" ht="17.25">
      <c r="A182" s="54" t="s">
        <v>626</v>
      </c>
      <c r="D182" s="46"/>
    </row>
    <row r="183" spans="1:8" s="2" customFormat="1" ht="33">
      <c r="A183" s="24" t="s">
        <v>127</v>
      </c>
      <c r="B183" s="25" t="s">
        <v>128</v>
      </c>
      <c r="C183" s="25" t="s">
        <v>129</v>
      </c>
      <c r="D183" s="25" t="s">
        <v>1</v>
      </c>
      <c r="E183" s="25" t="s">
        <v>130</v>
      </c>
      <c r="F183" s="25" t="s">
        <v>131</v>
      </c>
      <c r="G183" s="25" t="s">
        <v>132</v>
      </c>
      <c r="H183" s="25" t="s">
        <v>133</v>
      </c>
    </row>
    <row r="184" spans="1:8" s="3" customFormat="1" ht="60">
      <c r="A184" s="27">
        <v>1</v>
      </c>
      <c r="B184" s="28" t="s">
        <v>1364</v>
      </c>
      <c r="C184" s="28" t="s">
        <v>1365</v>
      </c>
      <c r="D184" s="28" t="s">
        <v>1366</v>
      </c>
      <c r="E184" s="28"/>
      <c r="F184" s="28">
        <v>2024</v>
      </c>
      <c r="G184" s="28" t="s">
        <v>1265</v>
      </c>
      <c r="H184" s="28">
        <v>1</v>
      </c>
    </row>
    <row r="185" spans="1:8" s="8" customFormat="1" ht="49.5" customHeight="1">
      <c r="A185" s="77">
        <v>2</v>
      </c>
      <c r="B185" s="78" t="s">
        <v>134</v>
      </c>
      <c r="C185" s="79" t="s">
        <v>1367</v>
      </c>
      <c r="D185" s="79" t="s">
        <v>1368</v>
      </c>
      <c r="E185" s="63" t="s">
        <v>1369</v>
      </c>
      <c r="F185" s="78">
        <v>2021</v>
      </c>
      <c r="G185" s="78">
        <v>2395823</v>
      </c>
      <c r="H185" s="28" t="s">
        <v>138</v>
      </c>
    </row>
    <row r="186" spans="1:8" s="8" customFormat="1" ht="51" customHeight="1">
      <c r="A186" s="77">
        <v>3</v>
      </c>
      <c r="B186" s="28" t="s">
        <v>134</v>
      </c>
      <c r="C186" s="79" t="s">
        <v>1370</v>
      </c>
      <c r="D186" s="79" t="s">
        <v>1371</v>
      </c>
      <c r="E186" s="63" t="s">
        <v>1372</v>
      </c>
      <c r="F186" s="78">
        <v>2020</v>
      </c>
      <c r="G186" s="78">
        <v>2270174</v>
      </c>
      <c r="H186" s="28" t="s">
        <v>138</v>
      </c>
    </row>
    <row r="187" spans="1:8" s="7" customFormat="1" ht="33.75" customHeight="1">
      <c r="A187" s="27">
        <v>4</v>
      </c>
      <c r="B187" s="28" t="s">
        <v>134</v>
      </c>
      <c r="C187" s="29" t="s">
        <v>627</v>
      </c>
      <c r="D187" s="29" t="s">
        <v>628</v>
      </c>
      <c r="E187" s="76" t="s">
        <v>629</v>
      </c>
      <c r="F187" s="28">
        <v>2020</v>
      </c>
      <c r="G187" s="28">
        <v>2395833</v>
      </c>
      <c r="H187" s="28" t="s">
        <v>138</v>
      </c>
    </row>
    <row r="188" spans="1:8" s="7" customFormat="1" ht="30.75" customHeight="1">
      <c r="A188" s="27">
        <v>5</v>
      </c>
      <c r="B188" s="28" t="s">
        <v>134</v>
      </c>
      <c r="C188" s="79" t="s">
        <v>1373</v>
      </c>
      <c r="D188" s="79" t="s">
        <v>635</v>
      </c>
      <c r="E188" s="80" t="s">
        <v>636</v>
      </c>
      <c r="F188" s="27">
        <v>2019</v>
      </c>
      <c r="G188" s="27">
        <v>2023974</v>
      </c>
      <c r="H188" s="28" t="s">
        <v>138</v>
      </c>
    </row>
    <row r="192" spans="1:8" s="2" customFormat="1" ht="17.25">
      <c r="A192" s="54" t="s">
        <v>642</v>
      </c>
      <c r="D192" s="46"/>
    </row>
    <row r="193" spans="1:8" s="2" customFormat="1" ht="33">
      <c r="A193" s="24" t="s">
        <v>127</v>
      </c>
      <c r="B193" s="25" t="s">
        <v>128</v>
      </c>
      <c r="C193" s="25" t="s">
        <v>129</v>
      </c>
      <c r="D193" s="25" t="s">
        <v>1</v>
      </c>
      <c r="E193" s="25"/>
      <c r="F193" s="25" t="s">
        <v>131</v>
      </c>
      <c r="G193" s="25" t="s">
        <v>132</v>
      </c>
      <c r="H193" s="25" t="s">
        <v>133</v>
      </c>
    </row>
    <row r="194" spans="1:8" s="9" customFormat="1" ht="60" customHeight="1">
      <c r="A194" s="28">
        <v>1</v>
      </c>
      <c r="B194" s="28" t="s">
        <v>134</v>
      </c>
      <c r="C194" s="29" t="s">
        <v>1374</v>
      </c>
      <c r="D194" s="29" t="s">
        <v>1375</v>
      </c>
      <c r="E194" s="66" t="s">
        <v>1376</v>
      </c>
      <c r="F194" s="28">
        <v>2021</v>
      </c>
      <c r="G194" s="28">
        <v>2973056</v>
      </c>
      <c r="H194" s="27" t="s">
        <v>138</v>
      </c>
    </row>
    <row r="195" spans="1:8" ht="34.5" customHeight="1">
      <c r="A195" s="27">
        <v>2</v>
      </c>
      <c r="B195" s="28" t="s">
        <v>134</v>
      </c>
      <c r="C195" s="29" t="s">
        <v>1377</v>
      </c>
      <c r="D195" s="29" t="s">
        <v>1378</v>
      </c>
      <c r="E195" s="81" t="s">
        <v>1379</v>
      </c>
      <c r="F195" s="27">
        <v>2020</v>
      </c>
      <c r="G195" s="27">
        <v>2461132</v>
      </c>
      <c r="H195" s="27" t="s">
        <v>138</v>
      </c>
    </row>
    <row r="196" spans="1:8" s="3" customFormat="1" ht="30" customHeight="1">
      <c r="A196" s="27">
        <v>3</v>
      </c>
      <c r="B196" s="28" t="s">
        <v>134</v>
      </c>
      <c r="C196" s="29" t="s">
        <v>1380</v>
      </c>
      <c r="D196" s="29" t="s">
        <v>1381</v>
      </c>
      <c r="E196" s="66" t="s">
        <v>1382</v>
      </c>
      <c r="F196" s="28">
        <v>2020</v>
      </c>
      <c r="G196" s="28">
        <v>2285330</v>
      </c>
      <c r="H196" s="28"/>
    </row>
    <row r="197" spans="1:8" s="3" customFormat="1" ht="30" customHeight="1">
      <c r="A197" s="27">
        <v>4</v>
      </c>
      <c r="B197" s="28" t="s">
        <v>134</v>
      </c>
      <c r="C197" s="29" t="s">
        <v>1383</v>
      </c>
      <c r="D197" s="29" t="s">
        <v>1384</v>
      </c>
      <c r="E197" s="63" t="s">
        <v>1385</v>
      </c>
      <c r="F197" s="28">
        <v>2019</v>
      </c>
      <c r="G197" s="28">
        <v>2153683</v>
      </c>
      <c r="H197" s="28"/>
    </row>
    <row r="198" spans="1:8" s="3" customFormat="1" ht="30" customHeight="1">
      <c r="A198" s="35"/>
      <c r="B198" s="68"/>
      <c r="C198" s="34"/>
      <c r="D198" s="34"/>
      <c r="E198" s="69"/>
      <c r="F198" s="68"/>
      <c r="G198" s="68"/>
      <c r="H198" s="68"/>
    </row>
    <row r="199" spans="1:8" s="3" customFormat="1" ht="30" customHeight="1">
      <c r="A199" s="35"/>
      <c r="B199" s="68"/>
      <c r="C199" s="34"/>
      <c r="D199" s="34"/>
      <c r="E199" s="69"/>
      <c r="F199" s="68"/>
      <c r="G199" s="68"/>
      <c r="H199" s="68"/>
    </row>
    <row r="200" spans="1:8" ht="15.75">
      <c r="A200" s="21" t="s">
        <v>664</v>
      </c>
    </row>
    <row r="201" spans="1:8" s="2" customFormat="1" ht="33">
      <c r="A201" s="24" t="s">
        <v>127</v>
      </c>
      <c r="B201" s="25" t="s">
        <v>128</v>
      </c>
      <c r="C201" s="25" t="s">
        <v>129</v>
      </c>
      <c r="D201" s="25" t="s">
        <v>1</v>
      </c>
      <c r="E201" s="25"/>
      <c r="F201" s="25" t="s">
        <v>131</v>
      </c>
      <c r="G201" s="25" t="s">
        <v>132</v>
      </c>
      <c r="H201" s="25" t="s">
        <v>133</v>
      </c>
    </row>
    <row r="202" spans="1:8" ht="58.5" customHeight="1">
      <c r="A202" s="27">
        <v>1</v>
      </c>
      <c r="B202" s="30" t="s">
        <v>675</v>
      </c>
      <c r="C202" s="29" t="s">
        <v>676</v>
      </c>
      <c r="D202" s="29" t="s">
        <v>677</v>
      </c>
      <c r="E202" s="30"/>
      <c r="F202" s="28">
        <v>2019</v>
      </c>
      <c r="G202" s="28" t="s">
        <v>678</v>
      </c>
      <c r="H202" s="27">
        <v>2</v>
      </c>
    </row>
    <row r="203" spans="1:8" ht="58.5" customHeight="1">
      <c r="A203" s="35"/>
      <c r="B203" s="82"/>
      <c r="C203" s="34"/>
      <c r="D203" s="34"/>
      <c r="E203" s="82"/>
      <c r="F203" s="68"/>
      <c r="G203" s="68"/>
      <c r="H203" s="35"/>
    </row>
    <row r="204" spans="1:8" ht="18">
      <c r="A204" s="18" t="s">
        <v>1386</v>
      </c>
      <c r="B204" s="83"/>
      <c r="C204" s="83"/>
    </row>
    <row r="208" spans="1:8" ht="15.75">
      <c r="A208" s="21" t="s">
        <v>685</v>
      </c>
    </row>
    <row r="209" spans="1:8" s="2" customFormat="1" ht="33">
      <c r="A209" s="24" t="s">
        <v>127</v>
      </c>
      <c r="B209" s="25" t="s">
        <v>128</v>
      </c>
      <c r="C209" s="25" t="s">
        <v>129</v>
      </c>
      <c r="D209" s="25" t="s">
        <v>1</v>
      </c>
      <c r="E209" s="25" t="s">
        <v>130</v>
      </c>
      <c r="F209" s="25" t="s">
        <v>131</v>
      </c>
      <c r="G209" s="25" t="s">
        <v>132</v>
      </c>
      <c r="H209" s="25" t="s">
        <v>133</v>
      </c>
    </row>
    <row r="210" spans="1:8" ht="40.5" customHeight="1">
      <c r="A210" s="27">
        <v>1</v>
      </c>
      <c r="B210" s="28" t="s">
        <v>134</v>
      </c>
      <c r="C210" s="29" t="s">
        <v>686</v>
      </c>
      <c r="D210" s="29" t="s">
        <v>687</v>
      </c>
      <c r="E210" s="66" t="s">
        <v>688</v>
      </c>
      <c r="F210" s="28">
        <v>2023</v>
      </c>
      <c r="G210" s="28">
        <v>3592740</v>
      </c>
      <c r="H210" s="28" t="s">
        <v>138</v>
      </c>
    </row>
    <row r="211" spans="1:8" ht="57" customHeight="1">
      <c r="A211" s="27">
        <v>2</v>
      </c>
      <c r="B211" s="28" t="s">
        <v>134</v>
      </c>
      <c r="C211" s="29" t="s">
        <v>692</v>
      </c>
      <c r="D211" s="29" t="s">
        <v>693</v>
      </c>
      <c r="E211" s="66" t="s">
        <v>694</v>
      </c>
      <c r="F211" s="28">
        <v>2021</v>
      </c>
      <c r="G211" s="28">
        <v>2655655</v>
      </c>
      <c r="H211" s="28" t="s">
        <v>138</v>
      </c>
    </row>
    <row r="212" spans="1:8" ht="54.75" customHeight="1">
      <c r="A212" s="27">
        <v>3</v>
      </c>
      <c r="B212" s="28" t="s">
        <v>134</v>
      </c>
      <c r="C212" s="29" t="s">
        <v>689</v>
      </c>
      <c r="D212" s="29" t="s">
        <v>690</v>
      </c>
      <c r="E212" s="66" t="s">
        <v>691</v>
      </c>
      <c r="F212" s="28">
        <v>2020</v>
      </c>
      <c r="G212" s="28">
        <v>2377603</v>
      </c>
      <c r="H212" s="28" t="s">
        <v>138</v>
      </c>
    </row>
    <row r="215" spans="1:8" s="2" customFormat="1" ht="17.25">
      <c r="A215" s="54" t="s">
        <v>702</v>
      </c>
      <c r="D215" s="46"/>
    </row>
    <row r="216" spans="1:8" s="2" customFormat="1" ht="33">
      <c r="A216" s="24" t="s">
        <v>127</v>
      </c>
      <c r="B216" s="25" t="s">
        <v>128</v>
      </c>
      <c r="C216" s="25" t="s">
        <v>129</v>
      </c>
      <c r="D216" s="25" t="s">
        <v>1</v>
      </c>
      <c r="E216" s="25" t="s">
        <v>130</v>
      </c>
      <c r="F216" s="25" t="s">
        <v>131</v>
      </c>
      <c r="G216" s="25" t="s">
        <v>132</v>
      </c>
      <c r="H216" s="25" t="s">
        <v>133</v>
      </c>
    </row>
    <row r="217" spans="1:8" s="2" customFormat="1" ht="45">
      <c r="A217" s="84">
        <v>1</v>
      </c>
      <c r="B217" s="85" t="s">
        <v>1387</v>
      </c>
      <c r="C217" s="86" t="s">
        <v>1388</v>
      </c>
      <c r="D217" s="86" t="s">
        <v>1389</v>
      </c>
      <c r="E217" s="85"/>
      <c r="F217" s="85">
        <v>2024</v>
      </c>
      <c r="G217" s="85" t="s">
        <v>1265</v>
      </c>
      <c r="H217" s="85">
        <v>1</v>
      </c>
    </row>
    <row r="218" spans="1:8" s="2" customFormat="1" ht="60">
      <c r="A218" s="26">
        <v>2</v>
      </c>
      <c r="B218" s="33" t="s">
        <v>1390</v>
      </c>
      <c r="C218" s="31" t="s">
        <v>1391</v>
      </c>
      <c r="D218" s="31" t="s">
        <v>1392</v>
      </c>
      <c r="E218" s="33"/>
      <c r="F218" s="33">
        <v>2024</v>
      </c>
      <c r="G218" s="33" t="s">
        <v>1265</v>
      </c>
      <c r="H218" s="33">
        <v>1</v>
      </c>
    </row>
    <row r="219" spans="1:8" ht="36.75" customHeight="1">
      <c r="A219" s="27">
        <v>3</v>
      </c>
      <c r="B219" s="28" t="s">
        <v>134</v>
      </c>
      <c r="C219" s="29" t="s">
        <v>703</v>
      </c>
      <c r="D219" s="29" t="s">
        <v>704</v>
      </c>
      <c r="E219" s="66" t="s">
        <v>705</v>
      </c>
      <c r="F219" s="28">
        <v>2021</v>
      </c>
      <c r="G219" s="28">
        <v>2641847</v>
      </c>
      <c r="H219" s="28" t="s">
        <v>138</v>
      </c>
    </row>
    <row r="220" spans="1:8" ht="56.25" customHeight="1">
      <c r="A220" s="27">
        <v>4</v>
      </c>
      <c r="B220" s="28" t="s">
        <v>134</v>
      </c>
      <c r="C220" s="29" t="s">
        <v>709</v>
      </c>
      <c r="D220" s="29" t="s">
        <v>710</v>
      </c>
      <c r="E220" s="66" t="s">
        <v>711</v>
      </c>
      <c r="F220" s="28">
        <v>2021</v>
      </c>
      <c r="G220" s="28">
        <v>1103437</v>
      </c>
      <c r="H220" s="28" t="s">
        <v>138</v>
      </c>
    </row>
    <row r="221" spans="1:8" ht="63" customHeight="1">
      <c r="A221" s="27">
        <v>5</v>
      </c>
      <c r="B221" s="28" t="s">
        <v>134</v>
      </c>
      <c r="C221" s="29" t="s">
        <v>706</v>
      </c>
      <c r="D221" s="29" t="s">
        <v>707</v>
      </c>
      <c r="E221" s="66" t="s">
        <v>708</v>
      </c>
      <c r="F221" s="28">
        <v>2020</v>
      </c>
      <c r="G221" s="28">
        <v>2395808</v>
      </c>
      <c r="H221" s="28" t="s">
        <v>138</v>
      </c>
    </row>
    <row r="222" spans="1:8" ht="19.5" customHeight="1">
      <c r="A222" s="35"/>
      <c r="B222" s="68"/>
      <c r="C222" s="34"/>
      <c r="D222" s="34"/>
      <c r="E222" s="87"/>
      <c r="F222" s="68"/>
      <c r="G222" s="68"/>
      <c r="H222" s="68"/>
    </row>
    <row r="223" spans="1:8" s="2" customFormat="1" ht="17.25">
      <c r="A223" s="54" t="s">
        <v>718</v>
      </c>
      <c r="D223" s="46"/>
    </row>
    <row r="224" spans="1:8" s="2" customFormat="1" ht="33">
      <c r="A224" s="88" t="s">
        <v>127</v>
      </c>
      <c r="B224" s="89" t="s">
        <v>128</v>
      </c>
      <c r="C224" s="89" t="s">
        <v>129</v>
      </c>
      <c r="D224" s="89" t="s">
        <v>1</v>
      </c>
      <c r="E224" s="89" t="s">
        <v>130</v>
      </c>
      <c r="F224" s="89" t="s">
        <v>131</v>
      </c>
      <c r="G224" s="89" t="s">
        <v>132</v>
      </c>
      <c r="H224" s="89" t="s">
        <v>133</v>
      </c>
    </row>
    <row r="225" spans="1:8" ht="37.5" customHeight="1">
      <c r="A225" s="27">
        <v>1</v>
      </c>
      <c r="B225" s="28" t="s">
        <v>134</v>
      </c>
      <c r="C225" s="28" t="s">
        <v>139</v>
      </c>
      <c r="D225" s="28" t="s">
        <v>140</v>
      </c>
      <c r="E225" s="66" t="s">
        <v>719</v>
      </c>
      <c r="F225" s="28">
        <v>2020</v>
      </c>
      <c r="G225" s="28">
        <v>2725246</v>
      </c>
      <c r="H225" s="28" t="s">
        <v>138</v>
      </c>
    </row>
    <row r="226" spans="1:8" ht="48.75" customHeight="1">
      <c r="A226" s="90">
        <v>2</v>
      </c>
      <c r="B226" s="28" t="s">
        <v>134</v>
      </c>
      <c r="C226" s="91" t="s">
        <v>720</v>
      </c>
      <c r="D226" s="91" t="s">
        <v>721</v>
      </c>
      <c r="E226" s="92" t="s">
        <v>722</v>
      </c>
      <c r="F226" s="91">
        <v>2020</v>
      </c>
      <c r="G226" s="91">
        <v>2900592</v>
      </c>
      <c r="H226" s="28" t="s">
        <v>138</v>
      </c>
    </row>
    <row r="227" spans="1:8" ht="48.75" customHeight="1">
      <c r="A227" s="27">
        <v>3</v>
      </c>
      <c r="B227" s="28" t="s">
        <v>134</v>
      </c>
      <c r="C227" s="28" t="s">
        <v>723</v>
      </c>
      <c r="D227" s="28" t="s">
        <v>724</v>
      </c>
      <c r="E227" s="66" t="s">
        <v>725</v>
      </c>
      <c r="F227" s="28">
        <v>2020</v>
      </c>
      <c r="G227" s="28">
        <v>2725237</v>
      </c>
      <c r="H227" s="28" t="s">
        <v>138</v>
      </c>
    </row>
    <row r="231" spans="1:8" s="2" customFormat="1" ht="17.25">
      <c r="A231" s="54" t="s">
        <v>751</v>
      </c>
      <c r="D231" s="46"/>
    </row>
    <row r="232" spans="1:8" s="2" customFormat="1" ht="33">
      <c r="A232" s="24" t="s">
        <v>127</v>
      </c>
      <c r="B232" s="25" t="s">
        <v>128</v>
      </c>
      <c r="C232" s="25" t="s">
        <v>129</v>
      </c>
      <c r="D232" s="25" t="s">
        <v>1</v>
      </c>
      <c r="E232" s="25" t="s">
        <v>130</v>
      </c>
      <c r="F232" s="25" t="s">
        <v>131</v>
      </c>
      <c r="G232" s="25" t="s">
        <v>132</v>
      </c>
      <c r="H232" s="25" t="s">
        <v>133</v>
      </c>
    </row>
    <row r="233" spans="1:8" s="10" customFormat="1" ht="60">
      <c r="A233" s="27">
        <v>1</v>
      </c>
      <c r="B233" s="28" t="s">
        <v>1393</v>
      </c>
      <c r="C233" s="29" t="s">
        <v>1394</v>
      </c>
      <c r="D233" s="29" t="s">
        <v>1395</v>
      </c>
      <c r="E233" s="29"/>
      <c r="F233" s="28">
        <v>2022</v>
      </c>
      <c r="G233" s="28" t="s">
        <v>1283</v>
      </c>
      <c r="H233" s="28">
        <v>1</v>
      </c>
    </row>
    <row r="234" spans="1:8" ht="46.5" customHeight="1">
      <c r="A234" s="27">
        <v>2</v>
      </c>
      <c r="B234" s="28" t="s">
        <v>134</v>
      </c>
      <c r="C234" s="29" t="s">
        <v>755</v>
      </c>
      <c r="D234" s="29" t="s">
        <v>756</v>
      </c>
      <c r="E234" s="66" t="s">
        <v>757</v>
      </c>
      <c r="F234" s="28">
        <v>2023</v>
      </c>
      <c r="G234" s="28">
        <v>3540468</v>
      </c>
      <c r="H234" s="28" t="s">
        <v>138</v>
      </c>
    </row>
    <row r="235" spans="1:8" ht="45" customHeight="1">
      <c r="A235" s="27">
        <v>3</v>
      </c>
      <c r="B235" s="28" t="s">
        <v>134</v>
      </c>
      <c r="C235" s="29" t="s">
        <v>752</v>
      </c>
      <c r="D235" s="29" t="s">
        <v>753</v>
      </c>
      <c r="E235" s="66" t="s">
        <v>754</v>
      </c>
      <c r="F235" s="28">
        <v>2021</v>
      </c>
      <c r="G235" s="28">
        <v>2994409</v>
      </c>
      <c r="H235" s="28" t="s">
        <v>138</v>
      </c>
    </row>
    <row r="236" spans="1:8" ht="52.5" customHeight="1">
      <c r="A236" s="27">
        <v>4</v>
      </c>
      <c r="B236" s="28" t="s">
        <v>134</v>
      </c>
      <c r="C236" s="29" t="s">
        <v>758</v>
      </c>
      <c r="D236" s="29" t="s">
        <v>759</v>
      </c>
      <c r="E236" s="66" t="s">
        <v>760</v>
      </c>
      <c r="F236" s="28">
        <v>2020</v>
      </c>
      <c r="G236" s="28">
        <v>2384619</v>
      </c>
      <c r="H236" s="28" t="s">
        <v>138</v>
      </c>
    </row>
    <row r="239" spans="1:8" s="2" customFormat="1" ht="17.25">
      <c r="A239" s="54" t="s">
        <v>779</v>
      </c>
      <c r="D239" s="46"/>
    </row>
    <row r="240" spans="1:8" s="2" customFormat="1" ht="33">
      <c r="A240" s="24" t="s">
        <v>127</v>
      </c>
      <c r="B240" s="25" t="s">
        <v>128</v>
      </c>
      <c r="C240" s="25" t="s">
        <v>129</v>
      </c>
      <c r="D240" s="25" t="s">
        <v>1</v>
      </c>
      <c r="E240" s="25" t="s">
        <v>130</v>
      </c>
      <c r="F240" s="25" t="s">
        <v>131</v>
      </c>
      <c r="G240" s="25" t="s">
        <v>132</v>
      </c>
      <c r="H240" s="25" t="s">
        <v>133</v>
      </c>
    </row>
    <row r="241" spans="1:8" ht="37.5" customHeight="1">
      <c r="A241" s="27">
        <v>1</v>
      </c>
      <c r="B241" s="28" t="s">
        <v>134</v>
      </c>
      <c r="C241" s="29" t="s">
        <v>780</v>
      </c>
      <c r="D241" s="29" t="s">
        <v>781</v>
      </c>
      <c r="E241" s="66" t="s">
        <v>782</v>
      </c>
      <c r="F241" s="28">
        <v>2022</v>
      </c>
      <c r="G241" s="28">
        <v>3293361</v>
      </c>
      <c r="H241" s="28" t="s">
        <v>138</v>
      </c>
    </row>
    <row r="242" spans="1:8" ht="24" customHeight="1">
      <c r="A242" s="48">
        <v>2</v>
      </c>
      <c r="B242" s="28" t="s">
        <v>134</v>
      </c>
      <c r="C242" s="93" t="s">
        <v>780</v>
      </c>
      <c r="D242" s="32" t="s">
        <v>786</v>
      </c>
      <c r="E242" s="94" t="s">
        <v>787</v>
      </c>
      <c r="F242" s="48">
        <v>2022</v>
      </c>
      <c r="G242" s="48">
        <v>3317502</v>
      </c>
      <c r="H242" s="28" t="s">
        <v>138</v>
      </c>
    </row>
    <row r="243" spans="1:8" ht="22.5" customHeight="1">
      <c r="A243" s="48">
        <v>3</v>
      </c>
      <c r="B243" s="28" t="s">
        <v>134</v>
      </c>
      <c r="C243" s="93" t="s">
        <v>783</v>
      </c>
      <c r="D243" s="32" t="s">
        <v>784</v>
      </c>
      <c r="E243" s="95" t="s">
        <v>785</v>
      </c>
      <c r="F243" s="48">
        <v>2020</v>
      </c>
      <c r="G243" s="48">
        <v>2665207</v>
      </c>
      <c r="H243" s="28" t="s">
        <v>138</v>
      </c>
    </row>
    <row r="244" spans="1:8" ht="22.5" customHeight="1">
      <c r="A244" s="96"/>
      <c r="B244" s="68"/>
      <c r="C244" s="97"/>
      <c r="D244" s="98"/>
      <c r="E244" s="99"/>
      <c r="F244" s="96"/>
      <c r="G244" s="96"/>
      <c r="H244" s="68"/>
    </row>
    <row r="245" spans="1:8" ht="22.5" customHeight="1">
      <c r="A245" s="96"/>
      <c r="B245" s="68"/>
      <c r="C245" s="97"/>
      <c r="D245" s="98"/>
      <c r="E245" s="99"/>
      <c r="F245" s="96"/>
      <c r="G245" s="96"/>
      <c r="H245" s="68"/>
    </row>
    <row r="246" spans="1:8" s="2" customFormat="1" ht="17.25">
      <c r="A246" s="54" t="s">
        <v>792</v>
      </c>
      <c r="D246" s="46"/>
    </row>
    <row r="247" spans="1:8" s="2" customFormat="1" ht="33">
      <c r="A247" s="24" t="s">
        <v>127</v>
      </c>
      <c r="B247" s="25" t="s">
        <v>128</v>
      </c>
      <c r="C247" s="25" t="s">
        <v>129</v>
      </c>
      <c r="D247" s="25" t="s">
        <v>1</v>
      </c>
      <c r="E247" s="25" t="s">
        <v>130</v>
      </c>
      <c r="F247" s="25" t="s">
        <v>131</v>
      </c>
      <c r="G247" s="25" t="s">
        <v>132</v>
      </c>
      <c r="H247" s="25" t="s">
        <v>133</v>
      </c>
    </row>
    <row r="248" spans="1:8" ht="22.5" customHeight="1">
      <c r="A248" s="90">
        <v>1</v>
      </c>
      <c r="B248" s="85" t="s">
        <v>134</v>
      </c>
      <c r="C248" s="100" t="s">
        <v>1396</v>
      </c>
      <c r="D248" s="101" t="s">
        <v>1397</v>
      </c>
      <c r="E248" s="102" t="s">
        <v>1398</v>
      </c>
      <c r="F248" s="90">
        <v>2021</v>
      </c>
      <c r="G248" s="90">
        <v>3356228</v>
      </c>
      <c r="H248" s="91" t="s">
        <v>138</v>
      </c>
    </row>
    <row r="249" spans="1:8" ht="44.1" customHeight="1">
      <c r="A249" s="85">
        <v>2</v>
      </c>
      <c r="B249" s="85" t="s">
        <v>134</v>
      </c>
      <c r="C249" s="86" t="s">
        <v>1399</v>
      </c>
      <c r="D249" s="86" t="s">
        <v>1400</v>
      </c>
      <c r="E249" s="104" t="s">
        <v>1401</v>
      </c>
      <c r="F249" s="85">
        <v>2021</v>
      </c>
      <c r="G249" s="85">
        <v>3286994</v>
      </c>
      <c r="H249" s="91" t="s">
        <v>138</v>
      </c>
    </row>
    <row r="253" spans="1:8" s="2" customFormat="1" ht="17.25">
      <c r="A253" s="54" t="s">
        <v>797</v>
      </c>
      <c r="D253" s="46"/>
    </row>
    <row r="254" spans="1:8" s="2" customFormat="1" ht="33">
      <c r="A254" s="24" t="s">
        <v>127</v>
      </c>
      <c r="B254" s="25" t="s">
        <v>128</v>
      </c>
      <c r="C254" s="25" t="s">
        <v>129</v>
      </c>
      <c r="D254" s="25" t="s">
        <v>1</v>
      </c>
      <c r="E254" s="25" t="s">
        <v>130</v>
      </c>
      <c r="F254" s="25" t="s">
        <v>131</v>
      </c>
      <c r="G254" s="25" t="s">
        <v>132</v>
      </c>
      <c r="H254" s="25" t="s">
        <v>133</v>
      </c>
    </row>
    <row r="255" spans="1:8" s="2" customFormat="1" ht="60">
      <c r="A255" s="27">
        <v>1</v>
      </c>
      <c r="B255" s="28" t="s">
        <v>1402</v>
      </c>
      <c r="C255" s="29" t="s">
        <v>1403</v>
      </c>
      <c r="D255" s="29" t="s">
        <v>1404</v>
      </c>
      <c r="E255" s="28"/>
      <c r="F255" s="28">
        <v>2024</v>
      </c>
      <c r="G255" s="28" t="s">
        <v>1283</v>
      </c>
      <c r="H255" s="28">
        <v>1</v>
      </c>
    </row>
    <row r="256" spans="1:8" ht="32.1" customHeight="1">
      <c r="A256" s="90">
        <v>2</v>
      </c>
      <c r="B256" s="105" t="s">
        <v>134</v>
      </c>
      <c r="C256" s="106" t="s">
        <v>1405</v>
      </c>
      <c r="D256" s="107" t="s">
        <v>1406</v>
      </c>
      <c r="E256" s="108" t="s">
        <v>1407</v>
      </c>
      <c r="F256" s="109">
        <v>2022</v>
      </c>
      <c r="G256" s="110">
        <v>3197891</v>
      </c>
      <c r="H256" s="91" t="s">
        <v>138</v>
      </c>
    </row>
    <row r="257" spans="1:8" ht="66" customHeight="1">
      <c r="A257" s="28">
        <v>3</v>
      </c>
      <c r="B257" s="33" t="s">
        <v>134</v>
      </c>
      <c r="C257" s="29" t="s">
        <v>1408</v>
      </c>
      <c r="D257" s="31" t="s">
        <v>1409</v>
      </c>
      <c r="E257" s="76" t="s">
        <v>1410</v>
      </c>
      <c r="F257" s="28">
        <v>2022</v>
      </c>
      <c r="G257" s="28">
        <v>3347574</v>
      </c>
      <c r="H257" s="28" t="s">
        <v>138</v>
      </c>
    </row>
    <row r="258" spans="1:8" ht="51.95" customHeight="1">
      <c r="A258" s="84">
        <v>4</v>
      </c>
      <c r="B258" s="85" t="s">
        <v>134</v>
      </c>
      <c r="C258" s="86" t="s">
        <v>798</v>
      </c>
      <c r="D258" s="86" t="s">
        <v>799</v>
      </c>
      <c r="E258" s="111" t="s">
        <v>800</v>
      </c>
      <c r="F258" s="85">
        <v>2020</v>
      </c>
      <c r="G258" s="85">
        <v>2390167</v>
      </c>
      <c r="H258" s="85" t="s">
        <v>138</v>
      </c>
    </row>
    <row r="259" spans="1:8" ht="45" customHeight="1">
      <c r="A259" s="84">
        <v>5</v>
      </c>
      <c r="B259" s="85" t="s">
        <v>134</v>
      </c>
      <c r="C259" s="86" t="s">
        <v>801</v>
      </c>
      <c r="D259" s="86" t="s">
        <v>802</v>
      </c>
      <c r="E259" s="111" t="s">
        <v>803</v>
      </c>
      <c r="F259" s="85">
        <v>2020</v>
      </c>
      <c r="G259" s="85">
        <v>2512026</v>
      </c>
      <c r="H259" s="85" t="s">
        <v>138</v>
      </c>
    </row>
    <row r="260" spans="1:8" ht="36" customHeight="1">
      <c r="A260" s="84">
        <v>6</v>
      </c>
      <c r="B260" s="85" t="s">
        <v>134</v>
      </c>
      <c r="C260" s="86" t="s">
        <v>804</v>
      </c>
      <c r="D260" s="86" t="s">
        <v>805</v>
      </c>
      <c r="E260" s="111" t="s">
        <v>806</v>
      </c>
      <c r="F260" s="85">
        <v>2020</v>
      </c>
      <c r="G260" s="85">
        <v>2527714</v>
      </c>
      <c r="H260" s="85" t="s">
        <v>138</v>
      </c>
    </row>
    <row r="261" spans="1:8" ht="17.100000000000001" customHeight="1">
      <c r="A261" s="112"/>
      <c r="B261" s="113"/>
      <c r="C261" s="43"/>
      <c r="D261" s="43"/>
      <c r="E261" s="114"/>
      <c r="F261" s="113"/>
      <c r="G261" s="113"/>
      <c r="H261" s="113"/>
    </row>
    <row r="262" spans="1:8" ht="36" customHeight="1">
      <c r="A262" s="112"/>
      <c r="B262" s="113"/>
      <c r="C262" s="43"/>
      <c r="D262" s="43"/>
      <c r="E262" s="114"/>
      <c r="F262" s="113"/>
      <c r="G262" s="113"/>
      <c r="H262" s="113"/>
    </row>
    <row r="263" spans="1:8" s="2" customFormat="1" ht="17.25">
      <c r="A263" s="54" t="s">
        <v>851</v>
      </c>
      <c r="D263" s="46"/>
    </row>
    <row r="264" spans="1:8" s="2" customFormat="1" ht="33">
      <c r="A264" s="24" t="s">
        <v>127</v>
      </c>
      <c r="B264" s="25" t="s">
        <v>128</v>
      </c>
      <c r="C264" s="25" t="s">
        <v>129</v>
      </c>
      <c r="D264" s="25" t="s">
        <v>1</v>
      </c>
      <c r="E264" s="25" t="s">
        <v>130</v>
      </c>
      <c r="F264" s="25" t="s">
        <v>131</v>
      </c>
      <c r="G264" s="25" t="s">
        <v>132</v>
      </c>
      <c r="H264" s="25" t="s">
        <v>133</v>
      </c>
    </row>
    <row r="265" spans="1:8" ht="63" customHeight="1">
      <c r="A265" s="27">
        <v>1</v>
      </c>
      <c r="B265" s="33" t="s">
        <v>134</v>
      </c>
      <c r="C265" s="29" t="s">
        <v>855</v>
      </c>
      <c r="D265" s="29" t="s">
        <v>856</v>
      </c>
      <c r="E265" s="66" t="s">
        <v>857</v>
      </c>
      <c r="F265" s="28">
        <v>2022</v>
      </c>
      <c r="G265" s="28">
        <v>3157780</v>
      </c>
      <c r="H265" s="28"/>
    </row>
    <row r="266" spans="1:8" ht="70.5" customHeight="1">
      <c r="A266" s="27">
        <v>2</v>
      </c>
      <c r="B266" s="33" t="s">
        <v>134</v>
      </c>
      <c r="C266" s="29" t="s">
        <v>852</v>
      </c>
      <c r="D266" s="29" t="s">
        <v>853</v>
      </c>
      <c r="E266" s="66" t="s">
        <v>854</v>
      </c>
      <c r="F266" s="28">
        <v>2020</v>
      </c>
      <c r="G266" s="28">
        <v>2285514</v>
      </c>
      <c r="H266" s="28"/>
    </row>
    <row r="270" spans="1:8" s="1" customFormat="1" ht="18.75">
      <c r="A270" s="18" t="s">
        <v>877</v>
      </c>
      <c r="D270" s="20"/>
    </row>
    <row r="271" spans="1:8" ht="15.75">
      <c r="A271" s="21"/>
    </row>
    <row r="272" spans="1:8" ht="15.75">
      <c r="A272" s="21"/>
    </row>
    <row r="273" spans="1:8" s="2" customFormat="1" ht="17.25">
      <c r="A273" s="54" t="s">
        <v>878</v>
      </c>
      <c r="D273" s="46"/>
    </row>
    <row r="274" spans="1:8" s="2" customFormat="1" ht="33">
      <c r="A274" s="88" t="s">
        <v>127</v>
      </c>
      <c r="B274" s="89" t="s">
        <v>128</v>
      </c>
      <c r="C274" s="89" t="s">
        <v>129</v>
      </c>
      <c r="D274" s="89" t="s">
        <v>1</v>
      </c>
      <c r="E274" s="89" t="s">
        <v>130</v>
      </c>
      <c r="F274" s="89" t="s">
        <v>131</v>
      </c>
      <c r="G274" s="89" t="s">
        <v>132</v>
      </c>
      <c r="H274" s="89" t="s">
        <v>133</v>
      </c>
    </row>
    <row r="275" spans="1:8" s="3" customFormat="1" ht="45">
      <c r="A275" s="90">
        <v>1</v>
      </c>
      <c r="B275" s="91" t="s">
        <v>1411</v>
      </c>
      <c r="C275" s="115" t="s">
        <v>1412</v>
      </c>
      <c r="D275" s="115" t="s">
        <v>1413</v>
      </c>
      <c r="E275" s="91"/>
      <c r="F275" s="91">
        <v>2024</v>
      </c>
      <c r="G275" s="91" t="s">
        <v>1283</v>
      </c>
      <c r="H275" s="91">
        <v>1</v>
      </c>
    </row>
    <row r="276" spans="1:8" s="3" customFormat="1" ht="30">
      <c r="A276" s="90">
        <v>2</v>
      </c>
      <c r="B276" s="91"/>
      <c r="C276" s="115" t="s">
        <v>1414</v>
      </c>
      <c r="D276" s="115" t="s">
        <v>1415</v>
      </c>
      <c r="E276" s="91"/>
      <c r="F276" s="91">
        <v>2024</v>
      </c>
      <c r="G276" s="91" t="s">
        <v>1283</v>
      </c>
      <c r="H276" s="91">
        <v>1</v>
      </c>
    </row>
    <row r="277" spans="1:8" s="3" customFormat="1" ht="30">
      <c r="A277" s="90">
        <v>3</v>
      </c>
      <c r="B277" s="91"/>
      <c r="C277" s="115" t="s">
        <v>1416</v>
      </c>
      <c r="D277" s="115" t="s">
        <v>1417</v>
      </c>
      <c r="E277" s="91"/>
      <c r="F277" s="91">
        <v>2024</v>
      </c>
      <c r="G277" s="91" t="s">
        <v>1283</v>
      </c>
      <c r="H277" s="91">
        <v>1</v>
      </c>
    </row>
    <row r="278" spans="1:8" s="3" customFormat="1" ht="30">
      <c r="A278" s="90">
        <v>4</v>
      </c>
      <c r="B278" s="91"/>
      <c r="C278" s="115" t="s">
        <v>1418</v>
      </c>
      <c r="D278" s="115" t="s">
        <v>1419</v>
      </c>
      <c r="E278" s="91"/>
      <c r="F278" s="91">
        <v>2024</v>
      </c>
      <c r="G278" s="91" t="s">
        <v>1283</v>
      </c>
      <c r="H278" s="91">
        <v>1</v>
      </c>
    </row>
    <row r="279" spans="1:8" s="3" customFormat="1" ht="30">
      <c r="A279" s="90">
        <v>5</v>
      </c>
      <c r="B279" s="91"/>
      <c r="C279" s="115" t="s">
        <v>1420</v>
      </c>
      <c r="D279" s="115" t="s">
        <v>1421</v>
      </c>
      <c r="E279" s="91"/>
      <c r="F279" s="91">
        <v>2024</v>
      </c>
      <c r="G279" s="91" t="s">
        <v>1283</v>
      </c>
      <c r="H279" s="91">
        <v>1</v>
      </c>
    </row>
    <row r="280" spans="1:8" s="3" customFormat="1" ht="30">
      <c r="A280" s="90">
        <v>6</v>
      </c>
      <c r="B280" s="91"/>
      <c r="C280" s="115" t="s">
        <v>1422</v>
      </c>
      <c r="D280" s="115" t="s">
        <v>65</v>
      </c>
      <c r="E280" s="91"/>
      <c r="F280" s="91">
        <v>2023</v>
      </c>
      <c r="G280" s="91" t="s">
        <v>1283</v>
      </c>
      <c r="H280" s="91">
        <v>1</v>
      </c>
    </row>
    <row r="281" spans="1:8" s="3" customFormat="1" ht="30">
      <c r="A281" s="90">
        <v>7</v>
      </c>
      <c r="B281" s="91"/>
      <c r="C281" s="115" t="s">
        <v>1423</v>
      </c>
      <c r="D281" s="115" t="s">
        <v>60</v>
      </c>
      <c r="E281" s="91"/>
      <c r="F281" s="91">
        <v>2023</v>
      </c>
      <c r="G281" s="91" t="s">
        <v>1283</v>
      </c>
      <c r="H281" s="91">
        <v>1</v>
      </c>
    </row>
    <row r="282" spans="1:8" s="3" customFormat="1" ht="30">
      <c r="A282" s="90">
        <v>8</v>
      </c>
      <c r="B282" s="91"/>
      <c r="C282" s="115" t="s">
        <v>1424</v>
      </c>
      <c r="D282" s="115" t="s">
        <v>1425</v>
      </c>
      <c r="E282" s="91"/>
      <c r="F282" s="91">
        <v>2022</v>
      </c>
      <c r="G282" s="91" t="s">
        <v>1283</v>
      </c>
      <c r="H282" s="91">
        <v>1</v>
      </c>
    </row>
    <row r="283" spans="1:8" ht="64.5" customHeight="1">
      <c r="A283" s="27">
        <v>9</v>
      </c>
      <c r="B283" s="33" t="s">
        <v>134</v>
      </c>
      <c r="C283" s="29" t="s">
        <v>882</v>
      </c>
      <c r="D283" s="29" t="s">
        <v>883</v>
      </c>
      <c r="E283" s="66" t="s">
        <v>884</v>
      </c>
      <c r="F283" s="28">
        <v>2023</v>
      </c>
      <c r="G283" s="33">
        <v>3508253</v>
      </c>
      <c r="H283" s="28" t="s">
        <v>138</v>
      </c>
    </row>
    <row r="284" spans="1:8" ht="58.5" customHeight="1">
      <c r="A284" s="90">
        <v>10</v>
      </c>
      <c r="B284" s="33" t="s">
        <v>134</v>
      </c>
      <c r="C284" s="115" t="s">
        <v>885</v>
      </c>
      <c r="D284" s="115" t="s">
        <v>886</v>
      </c>
      <c r="E284" s="92" t="s">
        <v>887</v>
      </c>
      <c r="F284" s="91">
        <v>2023</v>
      </c>
      <c r="G284" s="28">
        <v>3580099</v>
      </c>
      <c r="H284" s="91" t="s">
        <v>138</v>
      </c>
    </row>
    <row r="285" spans="1:8" ht="58.5" customHeight="1">
      <c r="A285" s="90">
        <v>11</v>
      </c>
      <c r="B285" s="33" t="s">
        <v>134</v>
      </c>
      <c r="C285" s="115" t="s">
        <v>1426</v>
      </c>
      <c r="D285" s="115" t="s">
        <v>1427</v>
      </c>
      <c r="E285" s="92" t="s">
        <v>1428</v>
      </c>
      <c r="F285" s="91">
        <v>2022</v>
      </c>
      <c r="G285" s="40">
        <v>3219433</v>
      </c>
      <c r="H285" s="91" t="s">
        <v>138</v>
      </c>
    </row>
    <row r="286" spans="1:8" ht="58.5" customHeight="1">
      <c r="A286" s="90">
        <v>12</v>
      </c>
      <c r="B286" s="33" t="s">
        <v>134</v>
      </c>
      <c r="C286" s="115" t="s">
        <v>1429</v>
      </c>
      <c r="D286" s="115" t="s">
        <v>1430</v>
      </c>
      <c r="E286" s="116" t="s">
        <v>1431</v>
      </c>
      <c r="F286" s="91">
        <v>2022</v>
      </c>
      <c r="G286" s="40">
        <v>3356187</v>
      </c>
      <c r="H286" s="91" t="s">
        <v>138</v>
      </c>
    </row>
    <row r="287" spans="1:8" ht="58.5" customHeight="1">
      <c r="A287" s="90">
        <v>15</v>
      </c>
      <c r="B287" s="33" t="s">
        <v>134</v>
      </c>
      <c r="C287" s="115" t="s">
        <v>879</v>
      </c>
      <c r="D287" s="115" t="s">
        <v>880</v>
      </c>
      <c r="E287" s="92" t="s">
        <v>881</v>
      </c>
      <c r="F287" s="91">
        <v>2021</v>
      </c>
      <c r="G287" s="28">
        <v>2755854</v>
      </c>
      <c r="H287" s="91" t="s">
        <v>138</v>
      </c>
    </row>
    <row r="288" spans="1:8" ht="58.5" customHeight="1">
      <c r="A288" s="90">
        <v>13</v>
      </c>
      <c r="B288" s="33" t="s">
        <v>134</v>
      </c>
      <c r="C288" s="115" t="s">
        <v>1432</v>
      </c>
      <c r="D288" s="115" t="s">
        <v>1433</v>
      </c>
      <c r="E288" s="116" t="s">
        <v>1434</v>
      </c>
      <c r="F288" s="91">
        <v>2020</v>
      </c>
      <c r="G288" s="40">
        <v>2665203</v>
      </c>
      <c r="H288" s="91" t="s">
        <v>138</v>
      </c>
    </row>
    <row r="289" spans="1:8" ht="46.5" customHeight="1">
      <c r="A289" s="90">
        <v>14</v>
      </c>
      <c r="B289" s="33" t="s">
        <v>134</v>
      </c>
      <c r="C289" s="115" t="s">
        <v>1435</v>
      </c>
      <c r="D289" s="115" t="s">
        <v>1436</v>
      </c>
      <c r="E289" s="116" t="s">
        <v>1437</v>
      </c>
      <c r="F289" s="91">
        <v>2020</v>
      </c>
      <c r="G289" s="250">
        <v>2375635</v>
      </c>
      <c r="H289" s="91" t="s">
        <v>138</v>
      </c>
    </row>
    <row r="290" spans="1:8" ht="66.75" customHeight="1">
      <c r="A290" s="27">
        <v>16</v>
      </c>
      <c r="B290" s="33" t="s">
        <v>134</v>
      </c>
      <c r="C290" s="29" t="s">
        <v>888</v>
      </c>
      <c r="D290" s="29" t="s">
        <v>889</v>
      </c>
      <c r="E290" s="66" t="s">
        <v>890</v>
      </c>
      <c r="F290" s="28">
        <v>2020</v>
      </c>
      <c r="G290" s="28">
        <v>2324320</v>
      </c>
      <c r="H290" s="28" t="s">
        <v>138</v>
      </c>
    </row>
    <row r="293" spans="1:8" s="2" customFormat="1" ht="17.25">
      <c r="A293" s="315" t="s">
        <v>948</v>
      </c>
      <c r="B293" s="315"/>
      <c r="C293" s="315"/>
      <c r="D293" s="315"/>
      <c r="E293" s="315"/>
      <c r="F293" s="315"/>
      <c r="G293" s="315"/>
      <c r="H293" s="315"/>
    </row>
    <row r="294" spans="1:8" s="2" customFormat="1" ht="33">
      <c r="A294" s="24" t="s">
        <v>127</v>
      </c>
      <c r="B294" s="25" t="s">
        <v>128</v>
      </c>
      <c r="C294" s="25" t="s">
        <v>129</v>
      </c>
      <c r="D294" s="25" t="s">
        <v>1</v>
      </c>
      <c r="E294" s="25" t="s">
        <v>130</v>
      </c>
      <c r="F294" s="25" t="s">
        <v>131</v>
      </c>
      <c r="G294" s="25" t="s">
        <v>132</v>
      </c>
      <c r="H294" s="25" t="s">
        <v>133</v>
      </c>
    </row>
    <row r="295" spans="1:8" s="2" customFormat="1" ht="45">
      <c r="A295" s="27">
        <v>1</v>
      </c>
      <c r="B295" s="117"/>
      <c r="C295" s="29" t="s">
        <v>1438</v>
      </c>
      <c r="D295" s="29" t="s">
        <v>1439</v>
      </c>
      <c r="E295" s="117"/>
      <c r="F295" s="28">
        <v>2024</v>
      </c>
      <c r="G295" s="28" t="s">
        <v>1440</v>
      </c>
      <c r="H295" s="28">
        <v>1</v>
      </c>
    </row>
    <row r="296" spans="1:8" s="2" customFormat="1" ht="30">
      <c r="A296" s="27">
        <v>2</v>
      </c>
      <c r="B296" s="117"/>
      <c r="C296" s="29" t="s">
        <v>1441</v>
      </c>
      <c r="D296" s="29" t="s">
        <v>1442</v>
      </c>
      <c r="E296" s="117"/>
      <c r="F296" s="28">
        <v>2024</v>
      </c>
      <c r="G296" s="28" t="s">
        <v>1440</v>
      </c>
      <c r="H296" s="28">
        <v>1</v>
      </c>
    </row>
    <row r="297" spans="1:8" s="2" customFormat="1" ht="30">
      <c r="A297" s="27">
        <v>3</v>
      </c>
      <c r="B297" s="117"/>
      <c r="C297" s="29" t="s">
        <v>1443</v>
      </c>
      <c r="D297" s="29" t="s">
        <v>1444</v>
      </c>
      <c r="E297" s="117"/>
      <c r="F297" s="28">
        <v>2024</v>
      </c>
      <c r="G297" s="28" t="s">
        <v>1440</v>
      </c>
      <c r="H297" s="28">
        <v>1</v>
      </c>
    </row>
    <row r="298" spans="1:8" ht="39" customHeight="1">
      <c r="A298" s="27">
        <v>4</v>
      </c>
      <c r="B298" s="27" t="s">
        <v>134</v>
      </c>
      <c r="C298" s="29" t="s">
        <v>949</v>
      </c>
      <c r="D298" s="29" t="s">
        <v>950</v>
      </c>
      <c r="E298" s="39" t="s">
        <v>951</v>
      </c>
      <c r="F298" s="28">
        <v>2023</v>
      </c>
      <c r="G298" s="28">
        <v>3540493</v>
      </c>
      <c r="H298" s="28" t="s">
        <v>138</v>
      </c>
    </row>
    <row r="299" spans="1:8" ht="37.5" customHeight="1">
      <c r="A299" s="27">
        <v>5</v>
      </c>
      <c r="B299" s="27" t="s">
        <v>134</v>
      </c>
      <c r="C299" s="31" t="s">
        <v>1188</v>
      </c>
      <c r="D299" s="31" t="s">
        <v>1189</v>
      </c>
      <c r="E299" s="63" t="s">
        <v>1190</v>
      </c>
      <c r="F299" s="33">
        <v>2021</v>
      </c>
      <c r="G299" s="118">
        <v>2721674</v>
      </c>
      <c r="H299" s="27" t="s">
        <v>138</v>
      </c>
    </row>
    <row r="300" spans="1:8" ht="47.1" customHeight="1">
      <c r="A300" s="28">
        <v>6</v>
      </c>
      <c r="B300" s="27" t="s">
        <v>134</v>
      </c>
      <c r="C300" s="29" t="s">
        <v>1445</v>
      </c>
      <c r="D300" s="31" t="s">
        <v>953</v>
      </c>
      <c r="E300" s="39" t="s">
        <v>1446</v>
      </c>
      <c r="F300" s="28">
        <v>2020</v>
      </c>
      <c r="G300" s="33">
        <v>1103404</v>
      </c>
      <c r="H300" s="28" t="s">
        <v>138</v>
      </c>
    </row>
    <row r="301" spans="1:8" ht="47.1" customHeight="1">
      <c r="A301" s="28">
        <v>7</v>
      </c>
      <c r="B301" s="27" t="s">
        <v>134</v>
      </c>
      <c r="C301" s="29" t="s">
        <v>1447</v>
      </c>
      <c r="D301" s="31" t="s">
        <v>1448</v>
      </c>
      <c r="E301" s="39" t="s">
        <v>1449</v>
      </c>
      <c r="F301" s="28">
        <v>2020</v>
      </c>
      <c r="G301" s="33">
        <v>2877812</v>
      </c>
      <c r="H301" s="28" t="s">
        <v>138</v>
      </c>
    </row>
    <row r="302" spans="1:8" ht="54" customHeight="1">
      <c r="A302" s="84">
        <v>8</v>
      </c>
      <c r="B302" s="84" t="s">
        <v>134</v>
      </c>
      <c r="C302" s="86" t="s">
        <v>1450</v>
      </c>
      <c r="D302" s="86" t="s">
        <v>959</v>
      </c>
      <c r="E302" s="119" t="s">
        <v>960</v>
      </c>
      <c r="F302" s="84">
        <v>2019</v>
      </c>
      <c r="G302" s="84">
        <v>2178969</v>
      </c>
      <c r="H302" s="84" t="s">
        <v>138</v>
      </c>
    </row>
    <row r="303" spans="1:8" ht="54" customHeight="1">
      <c r="A303" s="112"/>
      <c r="B303" s="112"/>
      <c r="C303" s="43"/>
      <c r="D303" s="43"/>
      <c r="E303" s="120"/>
      <c r="F303" s="112"/>
      <c r="G303" s="112"/>
      <c r="H303" s="112"/>
    </row>
    <row r="306" spans="1:8" s="11" customFormat="1" ht="17.25">
      <c r="A306" s="310" t="s">
        <v>974</v>
      </c>
      <c r="B306" s="310"/>
      <c r="C306" s="310"/>
      <c r="D306" s="310"/>
      <c r="E306" s="310"/>
      <c r="F306" s="310"/>
      <c r="G306" s="310"/>
      <c r="H306" s="310"/>
    </row>
    <row r="307" spans="1:8" s="11" customFormat="1" ht="33">
      <c r="A307" s="24" t="s">
        <v>127</v>
      </c>
      <c r="B307" s="25" t="s">
        <v>128</v>
      </c>
      <c r="C307" s="25" t="s">
        <v>129</v>
      </c>
      <c r="D307" s="25" t="s">
        <v>1</v>
      </c>
      <c r="E307" s="25"/>
      <c r="F307" s="25" t="s">
        <v>131</v>
      </c>
      <c r="G307" s="25" t="s">
        <v>132</v>
      </c>
      <c r="H307" s="25" t="s">
        <v>133</v>
      </c>
    </row>
    <row r="308" spans="1:8" s="12" customFormat="1" ht="30">
      <c r="A308" s="27">
        <v>1</v>
      </c>
      <c r="B308" s="28"/>
      <c r="C308" s="29" t="s">
        <v>1451</v>
      </c>
      <c r="D308" s="29" t="s">
        <v>1452</v>
      </c>
      <c r="E308" s="28"/>
      <c r="F308" s="28">
        <v>2024</v>
      </c>
      <c r="G308" s="27" t="s">
        <v>1283</v>
      </c>
      <c r="H308" s="28"/>
    </row>
    <row r="309" spans="1:8" ht="37.5" customHeight="1">
      <c r="A309" s="27">
        <v>2</v>
      </c>
      <c r="B309" s="27"/>
      <c r="C309" s="29" t="s">
        <v>1453</v>
      </c>
      <c r="D309" s="29" t="s">
        <v>1454</v>
      </c>
      <c r="E309" s="76"/>
      <c r="F309" s="27">
        <v>2023</v>
      </c>
      <c r="G309" s="27" t="s">
        <v>1283</v>
      </c>
      <c r="H309" s="27">
        <v>1</v>
      </c>
    </row>
    <row r="310" spans="1:8" ht="60.95" customHeight="1">
      <c r="A310" s="27">
        <v>3</v>
      </c>
      <c r="B310" s="27"/>
      <c r="C310" s="29" t="s">
        <v>1455</v>
      </c>
      <c r="D310" s="29" t="s">
        <v>1456</v>
      </c>
      <c r="E310" s="63" t="s">
        <v>1457</v>
      </c>
      <c r="F310" s="27">
        <v>2021</v>
      </c>
      <c r="G310" s="27">
        <v>3149516</v>
      </c>
      <c r="H310" s="27" t="s">
        <v>138</v>
      </c>
    </row>
    <row r="311" spans="1:8" ht="135">
      <c r="A311" s="27">
        <v>4</v>
      </c>
      <c r="B311" s="27" t="s">
        <v>134</v>
      </c>
      <c r="C311" s="28" t="s">
        <v>1458</v>
      </c>
      <c r="D311" s="28" t="s">
        <v>1459</v>
      </c>
      <c r="E311" s="63" t="s">
        <v>1460</v>
      </c>
      <c r="F311" s="27">
        <v>2020</v>
      </c>
      <c r="G311" s="33">
        <v>2737054</v>
      </c>
      <c r="H311" s="28" t="s">
        <v>138</v>
      </c>
    </row>
    <row r="312" spans="1:8" ht="76.5" customHeight="1">
      <c r="A312" s="27">
        <v>5</v>
      </c>
      <c r="B312" s="27" t="s">
        <v>134</v>
      </c>
      <c r="C312" s="29" t="s">
        <v>1461</v>
      </c>
      <c r="D312" s="121" t="s">
        <v>1462</v>
      </c>
      <c r="E312" s="63" t="s">
        <v>1463</v>
      </c>
      <c r="F312" s="28">
        <v>2020</v>
      </c>
      <c r="G312" s="28">
        <v>2562943</v>
      </c>
      <c r="H312" s="28" t="s">
        <v>138</v>
      </c>
    </row>
    <row r="313" spans="1:8" ht="76.5" customHeight="1">
      <c r="A313" s="27">
        <v>6</v>
      </c>
      <c r="B313" s="27" t="s">
        <v>134</v>
      </c>
      <c r="C313" s="29" t="s">
        <v>148</v>
      </c>
      <c r="D313" s="121" t="s">
        <v>149</v>
      </c>
      <c r="E313" s="63" t="s">
        <v>1464</v>
      </c>
      <c r="F313" s="28">
        <v>2020</v>
      </c>
      <c r="G313" s="28">
        <v>2669214</v>
      </c>
      <c r="H313" s="28" t="s">
        <v>138</v>
      </c>
    </row>
    <row r="314" spans="1:8">
      <c r="A314" s="35"/>
      <c r="B314" s="35"/>
      <c r="C314" s="68"/>
      <c r="D314" s="68"/>
      <c r="E314" s="35"/>
      <c r="F314" s="35"/>
      <c r="G314" s="113"/>
      <c r="H314" s="68"/>
    </row>
    <row r="317" spans="1:8" s="2" customFormat="1" ht="17.25">
      <c r="A317" s="315" t="s">
        <v>979</v>
      </c>
      <c r="B317" s="315"/>
      <c r="C317" s="315"/>
      <c r="D317" s="315"/>
      <c r="E317" s="315"/>
      <c r="F317" s="315"/>
      <c r="G317" s="315"/>
      <c r="H317" s="315"/>
    </row>
    <row r="318" spans="1:8" s="13" customFormat="1" ht="33">
      <c r="A318" s="24" t="s">
        <v>127</v>
      </c>
      <c r="B318" s="25" t="s">
        <v>128</v>
      </c>
      <c r="C318" s="25" t="s">
        <v>129</v>
      </c>
      <c r="D318" s="25" t="s">
        <v>1</v>
      </c>
      <c r="E318" s="25" t="s">
        <v>130</v>
      </c>
      <c r="F318" s="25" t="s">
        <v>131</v>
      </c>
      <c r="G318" s="25" t="s">
        <v>132</v>
      </c>
      <c r="H318" s="25" t="s">
        <v>133</v>
      </c>
    </row>
    <row r="319" spans="1:8" s="14" customFormat="1" ht="72" customHeight="1">
      <c r="A319" s="27">
        <v>1</v>
      </c>
      <c r="B319" s="28" t="s">
        <v>134</v>
      </c>
      <c r="C319" s="29" t="s">
        <v>1465</v>
      </c>
      <c r="D319" s="29" t="s">
        <v>1466</v>
      </c>
      <c r="E319" s="66" t="s">
        <v>1467</v>
      </c>
      <c r="F319" s="28">
        <v>2022</v>
      </c>
      <c r="G319" s="28">
        <v>3150875</v>
      </c>
      <c r="H319" s="28" t="s">
        <v>138</v>
      </c>
    </row>
    <row r="320" spans="1:8" ht="48.75" customHeight="1">
      <c r="A320" s="27">
        <v>2</v>
      </c>
      <c r="B320" s="28" t="s">
        <v>134</v>
      </c>
      <c r="C320" s="29" t="s">
        <v>980</v>
      </c>
      <c r="D320" s="29" t="s">
        <v>981</v>
      </c>
      <c r="E320" s="39" t="s">
        <v>982</v>
      </c>
      <c r="F320" s="28">
        <v>2021</v>
      </c>
      <c r="G320" s="28">
        <v>2693001</v>
      </c>
      <c r="H320" s="28" t="s">
        <v>138</v>
      </c>
    </row>
    <row r="321" spans="1:8" ht="40.5" customHeight="1">
      <c r="A321" s="27">
        <v>3</v>
      </c>
      <c r="B321" s="28" t="s">
        <v>134</v>
      </c>
      <c r="C321" s="29" t="s">
        <v>983</v>
      </c>
      <c r="D321" s="29" t="s">
        <v>984</v>
      </c>
      <c r="E321" s="39" t="s">
        <v>985</v>
      </c>
      <c r="F321" s="28">
        <v>2021</v>
      </c>
      <c r="G321" s="122">
        <v>2721710</v>
      </c>
      <c r="H321" s="28" t="s">
        <v>138</v>
      </c>
    </row>
    <row r="322" spans="1:8" ht="65.25" customHeight="1">
      <c r="A322" s="27">
        <v>4</v>
      </c>
      <c r="B322" s="28" t="s">
        <v>134</v>
      </c>
      <c r="C322" s="29" t="s">
        <v>986</v>
      </c>
      <c r="D322" s="29" t="s">
        <v>987</v>
      </c>
      <c r="E322" s="39" t="s">
        <v>988</v>
      </c>
      <c r="F322" s="28">
        <v>2020</v>
      </c>
      <c r="G322" s="28">
        <v>2478366</v>
      </c>
      <c r="H322" s="28" t="s">
        <v>138</v>
      </c>
    </row>
    <row r="327" spans="1:8" s="2" customFormat="1" ht="17.25">
      <c r="A327" s="123" t="s">
        <v>1001</v>
      </c>
      <c r="B327" s="123"/>
      <c r="C327" s="123"/>
      <c r="D327" s="124"/>
      <c r="E327" s="125"/>
      <c r="F327" s="125"/>
      <c r="G327" s="125"/>
      <c r="H327" s="125"/>
    </row>
    <row r="328" spans="1:8" s="13" customFormat="1" ht="33">
      <c r="A328" s="88" t="s">
        <v>127</v>
      </c>
      <c r="B328" s="89" t="s">
        <v>128</v>
      </c>
      <c r="C328" s="89" t="s">
        <v>129</v>
      </c>
      <c r="D328" s="89" t="s">
        <v>1</v>
      </c>
      <c r="E328" s="89" t="s">
        <v>130</v>
      </c>
      <c r="F328" s="89" t="s">
        <v>131</v>
      </c>
      <c r="G328" s="89" t="s">
        <v>132</v>
      </c>
      <c r="H328" s="89" t="s">
        <v>133</v>
      </c>
    </row>
    <row r="329" spans="1:8" s="11" customFormat="1" ht="49.5">
      <c r="A329" s="126">
        <v>1</v>
      </c>
      <c r="B329" s="127" t="s">
        <v>1468</v>
      </c>
      <c r="C329" s="127" t="s">
        <v>1469</v>
      </c>
      <c r="D329" s="127" t="s">
        <v>1470</v>
      </c>
      <c r="E329" s="127"/>
      <c r="F329" s="127">
        <v>2023</v>
      </c>
      <c r="G329" s="127" t="s">
        <v>1265</v>
      </c>
      <c r="H329" s="127">
        <v>1</v>
      </c>
    </row>
    <row r="330" spans="1:8" ht="55.5" customHeight="1">
      <c r="A330" s="27">
        <v>2</v>
      </c>
      <c r="B330" s="28" t="s">
        <v>134</v>
      </c>
      <c r="C330" s="29" t="s">
        <v>1002</v>
      </c>
      <c r="D330" s="29" t="s">
        <v>1003</v>
      </c>
      <c r="E330" s="39" t="s">
        <v>1004</v>
      </c>
      <c r="F330" s="28">
        <v>2020</v>
      </c>
      <c r="G330" s="28">
        <v>2395806</v>
      </c>
      <c r="H330" s="28" t="s">
        <v>138</v>
      </c>
    </row>
    <row r="335" spans="1:8" s="2" customFormat="1" ht="17.25">
      <c r="A335" s="123" t="s">
        <v>1025</v>
      </c>
      <c r="B335" s="125"/>
      <c r="C335" s="125"/>
      <c r="D335" s="124"/>
      <c r="E335" s="125"/>
      <c r="F335" s="125"/>
      <c r="G335" s="125"/>
      <c r="H335" s="125"/>
    </row>
    <row r="336" spans="1:8" s="13" customFormat="1" ht="33">
      <c r="A336" s="88" t="s">
        <v>127</v>
      </c>
      <c r="B336" s="89" t="s">
        <v>128</v>
      </c>
      <c r="C336" s="89" t="s">
        <v>129</v>
      </c>
      <c r="D336" s="89" t="s">
        <v>1</v>
      </c>
      <c r="E336" s="89" t="s">
        <v>130</v>
      </c>
      <c r="F336" s="89" t="s">
        <v>131</v>
      </c>
      <c r="G336" s="89" t="s">
        <v>132</v>
      </c>
      <c r="H336" s="89" t="s">
        <v>133</v>
      </c>
    </row>
    <row r="337" spans="1:8" s="6" customFormat="1" ht="45.75" customHeight="1">
      <c r="A337" s="28">
        <v>1</v>
      </c>
      <c r="B337" s="28" t="s">
        <v>134</v>
      </c>
      <c r="C337" s="29" t="s">
        <v>1471</v>
      </c>
      <c r="D337" s="29" t="s">
        <v>1472</v>
      </c>
      <c r="E337" s="63" t="s">
        <v>1473</v>
      </c>
      <c r="F337" s="28">
        <v>2022</v>
      </c>
      <c r="G337" s="28">
        <v>3323870</v>
      </c>
      <c r="H337" s="28" t="s">
        <v>138</v>
      </c>
    </row>
    <row r="338" spans="1:8" s="6" customFormat="1" ht="45.75" customHeight="1">
      <c r="A338" s="28">
        <v>2</v>
      </c>
      <c r="B338" s="28" t="s">
        <v>134</v>
      </c>
      <c r="C338" s="29" t="s">
        <v>1474</v>
      </c>
      <c r="D338" s="29" t="s">
        <v>1475</v>
      </c>
      <c r="E338" s="63" t="s">
        <v>1476</v>
      </c>
      <c r="F338" s="28">
        <v>2022</v>
      </c>
      <c r="G338" s="28">
        <v>3171173</v>
      </c>
      <c r="H338" s="28" t="s">
        <v>138</v>
      </c>
    </row>
    <row r="339" spans="1:8" ht="26.25" customHeight="1">
      <c r="A339" s="35"/>
      <c r="B339" s="68"/>
      <c r="C339" s="34"/>
      <c r="D339" s="34"/>
      <c r="E339" s="128"/>
      <c r="F339" s="68"/>
      <c r="G339" s="68"/>
      <c r="H339" s="68"/>
    </row>
    <row r="340" spans="1:8" s="2" customFormat="1" ht="17.25">
      <c r="A340" s="123" t="s">
        <v>1043</v>
      </c>
      <c r="B340" s="125"/>
      <c r="C340" s="125"/>
      <c r="D340" s="124"/>
      <c r="E340" s="125"/>
      <c r="F340" s="125"/>
      <c r="G340" s="125"/>
      <c r="H340" s="125"/>
    </row>
    <row r="341" spans="1:8" s="13" customFormat="1" ht="33">
      <c r="A341" s="24" t="s">
        <v>127</v>
      </c>
      <c r="B341" s="25" t="s">
        <v>128</v>
      </c>
      <c r="C341" s="25" t="s">
        <v>129</v>
      </c>
      <c r="D341" s="25" t="s">
        <v>1</v>
      </c>
      <c r="E341" s="25" t="s">
        <v>130</v>
      </c>
      <c r="F341" s="25" t="s">
        <v>131</v>
      </c>
      <c r="G341" s="25" t="s">
        <v>132</v>
      </c>
      <c r="H341" s="25" t="s">
        <v>133</v>
      </c>
    </row>
    <row r="342" spans="1:8" s="15" customFormat="1" ht="72" customHeight="1">
      <c r="A342" s="129">
        <v>1</v>
      </c>
      <c r="B342" s="78" t="s">
        <v>134</v>
      </c>
      <c r="C342" s="130" t="s">
        <v>1477</v>
      </c>
      <c r="D342" s="130" t="s">
        <v>1478</v>
      </c>
      <c r="E342" s="131" t="s">
        <v>1479</v>
      </c>
      <c r="F342" s="132">
        <v>2022</v>
      </c>
      <c r="G342" s="132">
        <v>157191229</v>
      </c>
      <c r="H342" s="132" t="s">
        <v>138</v>
      </c>
    </row>
    <row r="343" spans="1:8" s="6" customFormat="1" ht="61.5" customHeight="1">
      <c r="A343" s="28">
        <v>2</v>
      </c>
      <c r="B343" s="28" t="s">
        <v>134</v>
      </c>
      <c r="C343" s="29" t="s">
        <v>1161</v>
      </c>
      <c r="D343" s="29" t="s">
        <v>1162</v>
      </c>
      <c r="E343" s="63" t="s">
        <v>1480</v>
      </c>
      <c r="F343" s="28">
        <v>2021</v>
      </c>
      <c r="G343" s="28">
        <v>2700380</v>
      </c>
      <c r="H343" s="28" t="s">
        <v>138</v>
      </c>
    </row>
    <row r="344" spans="1:8" s="6" customFormat="1" ht="44.25" customHeight="1">
      <c r="A344" s="28">
        <v>3</v>
      </c>
      <c r="B344" s="28" t="s">
        <v>134</v>
      </c>
      <c r="C344" s="29" t="s">
        <v>1481</v>
      </c>
      <c r="D344" s="29" t="s">
        <v>1482</v>
      </c>
      <c r="E344" s="63" t="s">
        <v>1483</v>
      </c>
      <c r="F344" s="28">
        <v>2020</v>
      </c>
      <c r="G344" s="28">
        <v>2725284</v>
      </c>
      <c r="H344" s="28" t="s">
        <v>138</v>
      </c>
    </row>
    <row r="347" spans="1:8" s="2" customFormat="1" ht="17.25">
      <c r="A347" s="123" t="s">
        <v>1484</v>
      </c>
      <c r="B347" s="125"/>
      <c r="C347" s="125"/>
      <c r="D347" s="124"/>
      <c r="E347" s="125"/>
      <c r="F347" s="125"/>
      <c r="G347" s="125"/>
      <c r="H347" s="125"/>
    </row>
    <row r="348" spans="1:8" s="13" customFormat="1" ht="33">
      <c r="A348" s="24" t="s">
        <v>127</v>
      </c>
      <c r="B348" s="25" t="s">
        <v>128</v>
      </c>
      <c r="C348" s="25" t="s">
        <v>129</v>
      </c>
      <c r="D348" s="25" t="s">
        <v>1</v>
      </c>
      <c r="E348" s="25" t="s">
        <v>130</v>
      </c>
      <c r="F348" s="25" t="s">
        <v>131</v>
      </c>
      <c r="G348" s="25" t="s">
        <v>132</v>
      </c>
      <c r="H348" s="25" t="s">
        <v>133</v>
      </c>
    </row>
    <row r="349" spans="1:8" s="14" customFormat="1" ht="33" customHeight="1">
      <c r="A349" s="27">
        <v>1</v>
      </c>
      <c r="B349" s="28" t="s">
        <v>134</v>
      </c>
      <c r="C349" s="28" t="s">
        <v>1485</v>
      </c>
      <c r="D349" s="29" t="s">
        <v>1486</v>
      </c>
      <c r="E349" s="66" t="s">
        <v>1487</v>
      </c>
      <c r="F349" s="28">
        <v>2022</v>
      </c>
      <c r="G349" s="28">
        <v>3218226</v>
      </c>
      <c r="H349" s="28" t="s">
        <v>138</v>
      </c>
    </row>
    <row r="350" spans="1:8" s="3" customFormat="1" ht="30" customHeight="1">
      <c r="A350" s="27">
        <v>2</v>
      </c>
      <c r="B350" s="28" t="s">
        <v>134</v>
      </c>
      <c r="C350" s="29" t="s">
        <v>1055</v>
      </c>
      <c r="D350" s="29" t="s">
        <v>1056</v>
      </c>
      <c r="E350" s="133" t="s">
        <v>1057</v>
      </c>
      <c r="F350" s="28">
        <v>2020</v>
      </c>
      <c r="G350" s="28">
        <v>2458465</v>
      </c>
      <c r="H350" s="28" t="s">
        <v>138</v>
      </c>
    </row>
    <row r="351" spans="1:8" s="3" customFormat="1" ht="48" customHeight="1">
      <c r="A351" s="27">
        <v>3</v>
      </c>
      <c r="B351" s="28" t="s">
        <v>134</v>
      </c>
      <c r="C351" s="29" t="s">
        <v>1488</v>
      </c>
      <c r="D351" s="29" t="s">
        <v>1489</v>
      </c>
      <c r="E351" s="133" t="s">
        <v>1490</v>
      </c>
      <c r="F351" s="28">
        <v>2020</v>
      </c>
      <c r="G351" s="28">
        <v>2662898</v>
      </c>
      <c r="H351" s="28" t="s">
        <v>138</v>
      </c>
    </row>
    <row r="352" spans="1:8" s="3" customFormat="1" ht="36" customHeight="1">
      <c r="A352" s="28">
        <v>4</v>
      </c>
      <c r="B352" s="28" t="s">
        <v>134</v>
      </c>
      <c r="C352" s="29" t="s">
        <v>1491</v>
      </c>
      <c r="D352" s="29" t="s">
        <v>1061</v>
      </c>
      <c r="E352" s="134" t="s">
        <v>1492</v>
      </c>
      <c r="F352" s="28">
        <v>2020</v>
      </c>
      <c r="G352" s="28">
        <v>2505380</v>
      </c>
      <c r="H352" s="28" t="s">
        <v>138</v>
      </c>
    </row>
    <row r="356" spans="1:9" ht="15.75">
      <c r="A356" s="135" t="s">
        <v>1074</v>
      </c>
      <c r="B356" s="136"/>
      <c r="C356" s="136"/>
      <c r="D356" s="137"/>
      <c r="E356" s="136"/>
      <c r="F356" s="136"/>
      <c r="G356" s="136"/>
      <c r="H356" s="136"/>
    </row>
    <row r="357" spans="1:9" ht="15.75">
      <c r="A357" s="135"/>
      <c r="B357" s="136"/>
      <c r="C357" s="136"/>
      <c r="D357" s="137"/>
      <c r="E357" s="136"/>
      <c r="F357" s="136"/>
      <c r="G357" s="136"/>
      <c r="H357" s="136"/>
    </row>
    <row r="358" spans="1:9" s="2" customFormat="1" ht="17.25">
      <c r="A358" s="123" t="s">
        <v>1075</v>
      </c>
      <c r="B358" s="125"/>
      <c r="C358" s="125"/>
      <c r="D358" s="124"/>
      <c r="E358" s="125"/>
      <c r="F358" s="125"/>
      <c r="G358" s="125"/>
      <c r="H358" s="125"/>
      <c r="I358" s="125"/>
    </row>
    <row r="359" spans="1:9" s="13" customFormat="1" ht="33">
      <c r="A359" s="24" t="s">
        <v>127</v>
      </c>
      <c r="B359" s="25" t="s">
        <v>128</v>
      </c>
      <c r="C359" s="25" t="s">
        <v>129</v>
      </c>
      <c r="D359" s="25" t="s">
        <v>1</v>
      </c>
      <c r="E359" s="25" t="s">
        <v>130</v>
      </c>
      <c r="F359" s="25" t="s">
        <v>131</v>
      </c>
      <c r="G359" s="25" t="s">
        <v>132</v>
      </c>
      <c r="H359" s="25" t="s">
        <v>133</v>
      </c>
    </row>
    <row r="360" spans="1:9" s="14" customFormat="1" ht="45">
      <c r="A360" s="27">
        <v>1</v>
      </c>
      <c r="B360" s="28" t="s">
        <v>1493</v>
      </c>
      <c r="C360" s="29" t="s">
        <v>1494</v>
      </c>
      <c r="D360" s="29" t="s">
        <v>1495</v>
      </c>
      <c r="E360" s="28"/>
      <c r="F360" s="28">
        <v>2024</v>
      </c>
      <c r="G360" s="28" t="s">
        <v>1265</v>
      </c>
      <c r="H360" s="28">
        <v>1</v>
      </c>
    </row>
    <row r="361" spans="1:9" s="14" customFormat="1" ht="45">
      <c r="A361" s="27">
        <v>2</v>
      </c>
      <c r="B361" s="28" t="s">
        <v>1496</v>
      </c>
      <c r="C361" s="29" t="s">
        <v>1497</v>
      </c>
      <c r="D361" s="29" t="s">
        <v>1498</v>
      </c>
      <c r="E361" s="28"/>
      <c r="F361" s="28">
        <v>2024</v>
      </c>
      <c r="G361" s="28" t="s">
        <v>1265</v>
      </c>
      <c r="H361" s="28">
        <v>1</v>
      </c>
    </row>
    <row r="362" spans="1:9" s="13" customFormat="1" ht="49.5">
      <c r="A362" s="138">
        <v>3</v>
      </c>
      <c r="B362" s="139" t="s">
        <v>1496</v>
      </c>
      <c r="C362" s="140" t="s">
        <v>1499</v>
      </c>
      <c r="D362" s="140" t="s">
        <v>1500</v>
      </c>
      <c r="E362" s="139"/>
      <c r="F362" s="139">
        <v>2024</v>
      </c>
      <c r="G362" s="139" t="s">
        <v>1283</v>
      </c>
      <c r="H362" s="139">
        <v>1</v>
      </c>
    </row>
    <row r="363" spans="1:9" s="13" customFormat="1" ht="49.5">
      <c r="A363" s="138">
        <v>4</v>
      </c>
      <c r="B363" s="139"/>
      <c r="C363" s="140" t="s">
        <v>1501</v>
      </c>
      <c r="D363" s="140" t="s">
        <v>1502</v>
      </c>
      <c r="E363" s="139"/>
      <c r="F363" s="139">
        <v>2023</v>
      </c>
      <c r="G363" s="139" t="s">
        <v>1283</v>
      </c>
      <c r="H363" s="139">
        <v>1</v>
      </c>
    </row>
    <row r="364" spans="1:9" ht="41.25" customHeight="1">
      <c r="A364" s="27">
        <v>5</v>
      </c>
      <c r="B364" s="28" t="s">
        <v>134</v>
      </c>
      <c r="C364" s="29" t="s">
        <v>1076</v>
      </c>
      <c r="D364" s="29" t="s">
        <v>1077</v>
      </c>
      <c r="E364" s="39" t="s">
        <v>1078</v>
      </c>
      <c r="F364" s="28">
        <v>2021</v>
      </c>
      <c r="G364" s="28">
        <v>3219039</v>
      </c>
      <c r="H364" s="28" t="s">
        <v>138</v>
      </c>
    </row>
    <row r="365" spans="1:9" ht="41.25" customHeight="1">
      <c r="A365" s="27">
        <v>6</v>
      </c>
      <c r="B365" s="28" t="s">
        <v>134</v>
      </c>
      <c r="C365" s="79" t="s">
        <v>1503</v>
      </c>
      <c r="D365" s="79" t="s">
        <v>1504</v>
      </c>
      <c r="E365" s="39" t="s">
        <v>1505</v>
      </c>
      <c r="F365" s="28">
        <v>2021</v>
      </c>
      <c r="G365" s="28">
        <v>2758798</v>
      </c>
      <c r="H365" s="28" t="s">
        <v>138</v>
      </c>
    </row>
    <row r="366" spans="1:9" ht="45.75" customHeight="1">
      <c r="A366" s="27">
        <v>7</v>
      </c>
      <c r="B366" s="28" t="s">
        <v>134</v>
      </c>
      <c r="C366" s="29" t="s">
        <v>1079</v>
      </c>
      <c r="D366" s="29" t="s">
        <v>1080</v>
      </c>
      <c r="E366" s="39" t="s">
        <v>1081</v>
      </c>
      <c r="F366" s="28">
        <v>2020</v>
      </c>
      <c r="G366" s="28">
        <v>1103246</v>
      </c>
      <c r="H366" s="28" t="s">
        <v>138</v>
      </c>
    </row>
    <row r="367" spans="1:9" ht="39.75" customHeight="1">
      <c r="A367" s="27">
        <v>8</v>
      </c>
      <c r="B367" s="28" t="s">
        <v>134</v>
      </c>
      <c r="C367" s="79" t="s">
        <v>1506</v>
      </c>
      <c r="D367" s="79" t="s">
        <v>1507</v>
      </c>
      <c r="E367" s="39" t="s">
        <v>1508</v>
      </c>
      <c r="F367" s="28">
        <v>2020</v>
      </c>
      <c r="G367" s="28">
        <v>2725304</v>
      </c>
      <c r="H367" s="28" t="s">
        <v>138</v>
      </c>
    </row>
    <row r="371" spans="1:8" s="2" customFormat="1" ht="17.25">
      <c r="A371" s="123" t="s">
        <v>1098</v>
      </c>
      <c r="B371" s="125"/>
      <c r="C371" s="125"/>
      <c r="D371" s="124"/>
      <c r="E371" s="125"/>
      <c r="F371" s="125"/>
      <c r="G371" s="125"/>
      <c r="H371" s="125"/>
    </row>
    <row r="372" spans="1:8" s="13" customFormat="1" ht="33">
      <c r="A372" s="24" t="s">
        <v>127</v>
      </c>
      <c r="B372" s="25" t="s">
        <v>128</v>
      </c>
      <c r="C372" s="25" t="s">
        <v>129</v>
      </c>
      <c r="D372" s="25" t="s">
        <v>1</v>
      </c>
      <c r="E372" s="25" t="s">
        <v>130</v>
      </c>
      <c r="F372" s="25" t="s">
        <v>131</v>
      </c>
      <c r="G372" s="25" t="s">
        <v>132</v>
      </c>
      <c r="H372" s="25" t="s">
        <v>133</v>
      </c>
    </row>
    <row r="373" spans="1:8" ht="47.25" customHeight="1">
      <c r="A373" s="27">
        <v>1</v>
      </c>
      <c r="B373" s="28" t="s">
        <v>134</v>
      </c>
      <c r="C373" s="29" t="s">
        <v>1102</v>
      </c>
      <c r="D373" s="29" t="s">
        <v>1103</v>
      </c>
      <c r="E373" s="39" t="s">
        <v>1104</v>
      </c>
      <c r="F373" s="28">
        <v>2023</v>
      </c>
      <c r="G373" s="28">
        <v>3571764</v>
      </c>
      <c r="H373" s="28" t="s">
        <v>138</v>
      </c>
    </row>
    <row r="374" spans="1:8" ht="48.75" customHeight="1">
      <c r="A374" s="27">
        <v>2</v>
      </c>
      <c r="B374" s="28" t="s">
        <v>134</v>
      </c>
      <c r="C374" s="29" t="s">
        <v>1108</v>
      </c>
      <c r="D374" s="29" t="s">
        <v>1109</v>
      </c>
      <c r="E374" s="39" t="s">
        <v>1110</v>
      </c>
      <c r="F374" s="28">
        <v>2022</v>
      </c>
      <c r="G374" s="28">
        <v>3180335</v>
      </c>
      <c r="H374" s="28" t="s">
        <v>138</v>
      </c>
    </row>
    <row r="375" spans="1:8" ht="33.75" customHeight="1">
      <c r="A375" s="27">
        <v>3</v>
      </c>
      <c r="B375" s="28" t="s">
        <v>134</v>
      </c>
      <c r="C375" s="29" t="s">
        <v>1099</v>
      </c>
      <c r="D375" s="29" t="s">
        <v>1100</v>
      </c>
      <c r="E375" s="39" t="s">
        <v>1101</v>
      </c>
      <c r="F375" s="28">
        <v>2021</v>
      </c>
      <c r="G375" s="28">
        <v>2928642</v>
      </c>
      <c r="H375" s="28" t="s">
        <v>138</v>
      </c>
    </row>
    <row r="376" spans="1:8" ht="47.25" customHeight="1">
      <c r="A376" s="27">
        <v>4</v>
      </c>
      <c r="B376" s="28" t="s">
        <v>134</v>
      </c>
      <c r="C376" s="29" t="s">
        <v>1105</v>
      </c>
      <c r="D376" s="29" t="s">
        <v>1106</v>
      </c>
      <c r="E376" s="39" t="s">
        <v>1107</v>
      </c>
      <c r="F376" s="28">
        <v>2020</v>
      </c>
      <c r="G376" s="28">
        <v>2725310</v>
      </c>
      <c r="H376" s="28" t="s">
        <v>138</v>
      </c>
    </row>
    <row r="384" spans="1:8" s="2" customFormat="1" ht="17.25">
      <c r="A384" s="123" t="s">
        <v>1120</v>
      </c>
      <c r="B384" s="125"/>
      <c r="C384" s="125"/>
      <c r="D384" s="124"/>
      <c r="E384" s="125"/>
      <c r="F384" s="125"/>
      <c r="G384" s="125"/>
      <c r="H384" s="125"/>
    </row>
    <row r="385" spans="1:8" s="13" customFormat="1" ht="33">
      <c r="A385" s="24" t="s">
        <v>127</v>
      </c>
      <c r="B385" s="25" t="s">
        <v>128</v>
      </c>
      <c r="C385" s="25" t="s">
        <v>129</v>
      </c>
      <c r="D385" s="25" t="s">
        <v>1</v>
      </c>
      <c r="E385" s="25" t="s">
        <v>130</v>
      </c>
      <c r="F385" s="25" t="s">
        <v>131</v>
      </c>
      <c r="G385" s="25" t="s">
        <v>132</v>
      </c>
      <c r="H385" s="25" t="s">
        <v>133</v>
      </c>
    </row>
    <row r="386" spans="1:8" s="13" customFormat="1" ht="60">
      <c r="A386" s="138">
        <v>1</v>
      </c>
      <c r="B386" s="28" t="s">
        <v>1509</v>
      </c>
      <c r="C386" s="29" t="s">
        <v>1510</v>
      </c>
      <c r="D386" s="29" t="s">
        <v>1511</v>
      </c>
      <c r="E386" s="25"/>
      <c r="F386" s="28">
        <v>2024</v>
      </c>
      <c r="G386" s="28" t="s">
        <v>1512</v>
      </c>
      <c r="H386" s="132">
        <v>1</v>
      </c>
    </row>
    <row r="387" spans="1:8" s="13" customFormat="1" ht="30">
      <c r="A387" s="138">
        <v>2</v>
      </c>
      <c r="B387" s="28" t="s">
        <v>1513</v>
      </c>
      <c r="C387" s="29" t="s">
        <v>1514</v>
      </c>
      <c r="D387" s="29" t="s">
        <v>1515</v>
      </c>
      <c r="E387" s="25"/>
      <c r="F387" s="28">
        <v>2023</v>
      </c>
      <c r="G387" s="28" t="s">
        <v>1283</v>
      </c>
      <c r="H387" s="132">
        <v>1</v>
      </c>
    </row>
    <row r="388" spans="1:8" s="14" customFormat="1" ht="30">
      <c r="A388" s="141">
        <v>3</v>
      </c>
      <c r="B388" s="142"/>
      <c r="C388" s="143" t="s">
        <v>1516</v>
      </c>
      <c r="D388" s="143" t="s">
        <v>1517</v>
      </c>
      <c r="E388" s="142"/>
      <c r="F388" s="142">
        <v>2023</v>
      </c>
      <c r="G388" s="142" t="s">
        <v>1283</v>
      </c>
      <c r="H388" s="142">
        <v>1</v>
      </c>
    </row>
    <row r="389" spans="1:8" s="14" customFormat="1" ht="42" customHeight="1">
      <c r="A389" s="141">
        <v>4</v>
      </c>
      <c r="B389" s="28" t="s">
        <v>134</v>
      </c>
      <c r="C389" s="144" t="s">
        <v>1518</v>
      </c>
      <c r="D389" s="144" t="s">
        <v>1519</v>
      </c>
      <c r="E389" s="145" t="s">
        <v>1520</v>
      </c>
      <c r="F389" s="142">
        <v>2023</v>
      </c>
      <c r="G389" s="142">
        <v>3356232</v>
      </c>
      <c r="H389" s="28" t="s">
        <v>138</v>
      </c>
    </row>
    <row r="390" spans="1:8" ht="40.5" customHeight="1">
      <c r="A390" s="27">
        <v>5</v>
      </c>
      <c r="B390" s="28" t="s">
        <v>134</v>
      </c>
      <c r="C390" s="29" t="s">
        <v>1121</v>
      </c>
      <c r="D390" s="29" t="s">
        <v>1122</v>
      </c>
      <c r="E390" s="63" t="s">
        <v>1123</v>
      </c>
      <c r="F390" s="28">
        <v>2021</v>
      </c>
      <c r="G390" s="28">
        <v>3103944</v>
      </c>
      <c r="H390" s="28" t="s">
        <v>138</v>
      </c>
    </row>
    <row r="391" spans="1:8" ht="40.5" customHeight="1">
      <c r="A391" s="27">
        <v>6</v>
      </c>
      <c r="B391" s="28" t="s">
        <v>134</v>
      </c>
      <c r="C391" s="79" t="s">
        <v>1521</v>
      </c>
      <c r="D391" s="79" t="s">
        <v>1522</v>
      </c>
      <c r="E391" s="63" t="s">
        <v>1523</v>
      </c>
      <c r="F391" s="28">
        <v>2021</v>
      </c>
      <c r="G391" s="28">
        <v>2969614</v>
      </c>
      <c r="H391" s="28" t="s">
        <v>138</v>
      </c>
    </row>
    <row r="395" spans="1:8" s="2" customFormat="1" ht="17.25">
      <c r="A395" s="123" t="s">
        <v>1138</v>
      </c>
      <c r="B395" s="125"/>
      <c r="C395" s="125"/>
      <c r="D395" s="124"/>
      <c r="E395" s="125"/>
      <c r="F395" s="125"/>
      <c r="G395" s="125"/>
      <c r="H395" s="125"/>
    </row>
    <row r="396" spans="1:8" s="13" customFormat="1" ht="33">
      <c r="A396" s="24" t="s">
        <v>127</v>
      </c>
      <c r="B396" s="25" t="s">
        <v>128</v>
      </c>
      <c r="C396" s="25" t="s">
        <v>129</v>
      </c>
      <c r="D396" s="25" t="s">
        <v>1</v>
      </c>
      <c r="E396" s="25" t="s">
        <v>130</v>
      </c>
      <c r="F396" s="25" t="s">
        <v>131</v>
      </c>
      <c r="G396" s="25" t="s">
        <v>132</v>
      </c>
      <c r="H396" s="25" t="s">
        <v>133</v>
      </c>
    </row>
    <row r="397" spans="1:8" s="14" customFormat="1" ht="60">
      <c r="A397" s="27">
        <v>1</v>
      </c>
      <c r="B397" s="28" t="s">
        <v>1524</v>
      </c>
      <c r="C397" s="28" t="s">
        <v>1525</v>
      </c>
      <c r="D397" s="28" t="s">
        <v>1526</v>
      </c>
      <c r="E397" s="28"/>
      <c r="F397" s="28">
        <v>2024</v>
      </c>
      <c r="G397" s="28" t="s">
        <v>1265</v>
      </c>
      <c r="H397" s="28">
        <v>1</v>
      </c>
    </row>
    <row r="398" spans="1:8" s="16" customFormat="1" ht="45.75" customHeight="1">
      <c r="A398" s="77">
        <v>2</v>
      </c>
      <c r="B398" s="78" t="s">
        <v>134</v>
      </c>
      <c r="C398" s="79" t="s">
        <v>1527</v>
      </c>
      <c r="D398" s="79" t="s">
        <v>1528</v>
      </c>
      <c r="E398" s="63" t="s">
        <v>1529</v>
      </c>
      <c r="F398" s="78">
        <v>2021</v>
      </c>
      <c r="G398" s="78">
        <v>2761952</v>
      </c>
      <c r="H398" s="78" t="s">
        <v>138</v>
      </c>
    </row>
    <row r="399" spans="1:8" ht="62.25" customHeight="1">
      <c r="A399" s="27">
        <v>3</v>
      </c>
      <c r="B399" s="78" t="s">
        <v>134</v>
      </c>
      <c r="C399" s="79" t="s">
        <v>1530</v>
      </c>
      <c r="D399" s="79" t="s">
        <v>1531</v>
      </c>
      <c r="E399" s="63" t="s">
        <v>1532</v>
      </c>
      <c r="F399" s="28">
        <v>2020</v>
      </c>
      <c r="G399" s="28">
        <v>2876961</v>
      </c>
      <c r="H399" s="78" t="s">
        <v>138</v>
      </c>
    </row>
    <row r="400" spans="1:8" ht="24" customHeight="1">
      <c r="A400" s="35"/>
      <c r="B400" s="68"/>
      <c r="C400" s="34"/>
      <c r="D400" s="34"/>
      <c r="E400" s="146"/>
      <c r="F400" s="68"/>
      <c r="G400" s="68"/>
      <c r="H400" s="68"/>
    </row>
    <row r="402" spans="1:8" s="2" customFormat="1" ht="17.25">
      <c r="A402" s="123" t="s">
        <v>1145</v>
      </c>
      <c r="B402" s="125"/>
      <c r="C402" s="125"/>
      <c r="D402" s="124"/>
      <c r="E402" s="125"/>
      <c r="F402" s="125"/>
      <c r="G402" s="125"/>
      <c r="H402" s="125"/>
    </row>
    <row r="403" spans="1:8" s="13" customFormat="1" ht="33">
      <c r="A403" s="24" t="s">
        <v>127</v>
      </c>
      <c r="B403" s="25" t="s">
        <v>128</v>
      </c>
      <c r="C403" s="25" t="s">
        <v>129</v>
      </c>
      <c r="D403" s="25" t="s">
        <v>1</v>
      </c>
      <c r="E403" s="25" t="s">
        <v>130</v>
      </c>
      <c r="F403" s="25" t="s">
        <v>131</v>
      </c>
      <c r="G403" s="25" t="s">
        <v>132</v>
      </c>
      <c r="H403" s="25" t="s">
        <v>133</v>
      </c>
    </row>
    <row r="404" spans="1:8" ht="45">
      <c r="A404" s="28">
        <v>1</v>
      </c>
      <c r="B404" s="30" t="s">
        <v>1537</v>
      </c>
      <c r="C404" s="29" t="s">
        <v>1538</v>
      </c>
      <c r="D404" s="29" t="s">
        <v>1539</v>
      </c>
      <c r="E404" s="63"/>
      <c r="F404" s="28">
        <v>2024</v>
      </c>
      <c r="G404" s="28" t="s">
        <v>1540</v>
      </c>
      <c r="H404" s="28">
        <v>1</v>
      </c>
    </row>
    <row r="405" spans="1:8" ht="48.75" customHeight="1">
      <c r="A405" s="28">
        <v>2</v>
      </c>
      <c r="B405" s="30" t="s">
        <v>1533</v>
      </c>
      <c r="C405" s="29" t="s">
        <v>1534</v>
      </c>
      <c r="D405" s="29" t="s">
        <v>1535</v>
      </c>
      <c r="E405" s="63"/>
      <c r="F405" s="28">
        <v>2022</v>
      </c>
      <c r="G405" s="28" t="s">
        <v>1536</v>
      </c>
      <c r="H405" s="28">
        <v>4</v>
      </c>
    </row>
    <row r="406" spans="1:8" ht="78.75" customHeight="1">
      <c r="A406" s="42">
        <v>3</v>
      </c>
      <c r="B406" s="30" t="s">
        <v>1541</v>
      </c>
      <c r="C406" s="29" t="s">
        <v>1542</v>
      </c>
      <c r="D406" s="29" t="s">
        <v>1543</v>
      </c>
      <c r="E406" s="147"/>
      <c r="F406" s="27">
        <v>2022</v>
      </c>
      <c r="G406" s="78" t="s">
        <v>1544</v>
      </c>
      <c r="H406" s="27">
        <v>1</v>
      </c>
    </row>
    <row r="407" spans="1:8" ht="33" customHeight="1">
      <c r="A407" s="42">
        <v>4</v>
      </c>
      <c r="B407" s="79" t="s">
        <v>134</v>
      </c>
      <c r="C407" s="29" t="s">
        <v>1545</v>
      </c>
      <c r="D407" s="29" t="s">
        <v>1546</v>
      </c>
      <c r="E407" s="148" t="s">
        <v>1547</v>
      </c>
      <c r="F407" s="27">
        <v>2021</v>
      </c>
      <c r="G407" s="78">
        <v>3103340</v>
      </c>
      <c r="H407" s="77" t="s">
        <v>138</v>
      </c>
    </row>
    <row r="408" spans="1:8" ht="42.75" customHeight="1">
      <c r="A408" s="42">
        <v>6</v>
      </c>
      <c r="B408" s="79" t="s">
        <v>134</v>
      </c>
      <c r="C408" s="79" t="s">
        <v>1548</v>
      </c>
      <c r="D408" s="79" t="s">
        <v>1549</v>
      </c>
      <c r="E408" s="148" t="s">
        <v>1550</v>
      </c>
      <c r="F408" s="27">
        <v>2020</v>
      </c>
      <c r="G408" s="78">
        <v>2483859</v>
      </c>
      <c r="H408" s="77" t="s">
        <v>138</v>
      </c>
    </row>
    <row r="409" spans="1:8" s="13" customFormat="1" ht="17.25">
      <c r="A409"/>
      <c r="B409"/>
      <c r="C409"/>
      <c r="D409" s="6"/>
      <c r="E409"/>
      <c r="F409"/>
      <c r="G409"/>
      <c r="H409"/>
    </row>
    <row r="410" spans="1:8" ht="23.1" customHeight="1"/>
    <row r="411" spans="1:8" ht="32.1" customHeight="1">
      <c r="A411" s="123" t="s">
        <v>1149</v>
      </c>
      <c r="B411" s="125"/>
      <c r="C411" s="125"/>
      <c r="D411" s="124"/>
      <c r="E411" s="125"/>
      <c r="F411" s="125"/>
      <c r="G411" s="125"/>
      <c r="H411" s="125"/>
    </row>
    <row r="412" spans="1:8" ht="33">
      <c r="A412" s="24" t="s">
        <v>127</v>
      </c>
      <c r="B412" s="25" t="s">
        <v>128</v>
      </c>
      <c r="C412" s="25" t="s">
        <v>129</v>
      </c>
      <c r="D412" s="25" t="s">
        <v>1</v>
      </c>
      <c r="E412" s="25" t="s">
        <v>130</v>
      </c>
      <c r="F412" s="25" t="s">
        <v>131</v>
      </c>
      <c r="G412" s="25" t="s">
        <v>132</v>
      </c>
      <c r="H412" s="25" t="s">
        <v>133</v>
      </c>
    </row>
    <row r="413" spans="1:8" s="6" customFormat="1" ht="60.75" customHeight="1">
      <c r="A413" s="149">
        <v>1</v>
      </c>
      <c r="B413" s="78" t="s">
        <v>134</v>
      </c>
      <c r="C413" s="79" t="s">
        <v>1551</v>
      </c>
      <c r="D413" s="79" t="s">
        <v>1552</v>
      </c>
      <c r="E413" s="81" t="s">
        <v>1553</v>
      </c>
      <c r="F413" s="78">
        <v>2022</v>
      </c>
      <c r="G413" s="78">
        <v>3368096</v>
      </c>
      <c r="H413" s="28" t="s">
        <v>138</v>
      </c>
    </row>
    <row r="414" spans="1:8" s="6" customFormat="1" ht="41.1" customHeight="1">
      <c r="A414" s="149">
        <v>2</v>
      </c>
      <c r="B414" s="78" t="s">
        <v>134</v>
      </c>
      <c r="C414" s="79" t="s">
        <v>1554</v>
      </c>
      <c r="D414" s="79" t="s">
        <v>1555</v>
      </c>
      <c r="E414" s="148" t="s">
        <v>1556</v>
      </c>
      <c r="F414" s="78">
        <v>2021</v>
      </c>
      <c r="G414" s="78">
        <v>2631311</v>
      </c>
      <c r="H414" s="28" t="s">
        <v>138</v>
      </c>
    </row>
    <row r="415" spans="1:8" s="8" customFormat="1" ht="78.75" customHeight="1">
      <c r="A415" s="77">
        <v>3</v>
      </c>
      <c r="B415" s="78" t="s">
        <v>134</v>
      </c>
      <c r="C415" s="79" t="s">
        <v>1557</v>
      </c>
      <c r="D415" s="79" t="s">
        <v>1558</v>
      </c>
      <c r="E415" s="150" t="s">
        <v>1559</v>
      </c>
      <c r="F415" s="78">
        <v>2020</v>
      </c>
      <c r="G415" s="78">
        <v>2640770</v>
      </c>
      <c r="H415" s="28" t="s">
        <v>138</v>
      </c>
    </row>
    <row r="416" spans="1:8" s="8" customFormat="1" ht="33" customHeight="1">
      <c r="A416" s="77">
        <v>4</v>
      </c>
      <c r="B416" s="78" t="s">
        <v>134</v>
      </c>
      <c r="C416" s="79" t="s">
        <v>1560</v>
      </c>
      <c r="D416" s="79" t="s">
        <v>1561</v>
      </c>
      <c r="E416" s="63" t="s">
        <v>1562</v>
      </c>
      <c r="F416" s="78">
        <v>2020</v>
      </c>
      <c r="G416" s="78">
        <v>2377629</v>
      </c>
      <c r="H416" s="28" t="s">
        <v>138</v>
      </c>
    </row>
    <row r="417" spans="1:9" ht="16.5">
      <c r="A417" s="65"/>
      <c r="B417" s="64"/>
      <c r="C417" s="64"/>
      <c r="D417" s="64"/>
      <c r="E417" s="64"/>
      <c r="F417" s="64"/>
      <c r="G417" s="64"/>
      <c r="H417" s="64"/>
    </row>
    <row r="418" spans="1:9" ht="16.5">
      <c r="A418" s="65"/>
      <c r="B418" s="64"/>
      <c r="C418" s="64"/>
      <c r="D418" s="64"/>
      <c r="E418" s="64"/>
      <c r="F418" s="64"/>
      <c r="G418" s="64"/>
      <c r="H418" s="64"/>
    </row>
    <row r="419" spans="1:9" s="1" customFormat="1" ht="18.75">
      <c r="A419" s="151" t="s">
        <v>1150</v>
      </c>
      <c r="B419" s="152"/>
      <c r="C419" s="152"/>
      <c r="D419" s="153"/>
      <c r="E419" s="152"/>
      <c r="F419" s="152"/>
      <c r="G419" s="152"/>
      <c r="H419" s="152"/>
    </row>
    <row r="420" spans="1:9" ht="15.75">
      <c r="A420" s="135"/>
      <c r="B420" s="136"/>
      <c r="C420" s="136"/>
      <c r="D420" s="137"/>
      <c r="E420" s="136"/>
      <c r="F420" s="136"/>
      <c r="G420" s="136"/>
      <c r="H420" s="136"/>
    </row>
    <row r="421" spans="1:9" s="2" customFormat="1" ht="17.25">
      <c r="A421" s="123" t="s">
        <v>1563</v>
      </c>
      <c r="B421" s="125"/>
      <c r="C421" s="125"/>
      <c r="D421" s="124"/>
      <c r="E421" s="125"/>
      <c r="F421" s="125"/>
      <c r="G421" s="125"/>
      <c r="H421" s="125"/>
      <c r="I421" s="125"/>
    </row>
    <row r="422" spans="1:9" s="13" customFormat="1" ht="33">
      <c r="A422" s="24" t="s">
        <v>127</v>
      </c>
      <c r="B422" s="25" t="s">
        <v>128</v>
      </c>
      <c r="C422" s="25" t="s">
        <v>129</v>
      </c>
      <c r="D422" s="25" t="s">
        <v>1</v>
      </c>
      <c r="E422" s="25" t="s">
        <v>130</v>
      </c>
      <c r="F422" s="25" t="s">
        <v>131</v>
      </c>
      <c r="G422" s="25" t="s">
        <v>132</v>
      </c>
      <c r="H422" s="25" t="s">
        <v>133</v>
      </c>
    </row>
    <row r="423" spans="1:9" s="14" customFormat="1" ht="90">
      <c r="A423" s="27">
        <v>1</v>
      </c>
      <c r="B423" s="28" t="s">
        <v>1564</v>
      </c>
      <c r="C423" s="28" t="s">
        <v>1565</v>
      </c>
      <c r="D423" s="28" t="s">
        <v>1566</v>
      </c>
      <c r="E423" s="28"/>
      <c r="F423" s="28">
        <v>2023</v>
      </c>
      <c r="G423" s="28" t="s">
        <v>1283</v>
      </c>
      <c r="H423" s="28">
        <v>1</v>
      </c>
    </row>
    <row r="424" spans="1:9" s="14" customFormat="1" ht="45">
      <c r="A424" s="27">
        <v>2</v>
      </c>
      <c r="B424" s="28" t="s">
        <v>1567</v>
      </c>
      <c r="C424" s="28" t="s">
        <v>1568</v>
      </c>
      <c r="D424" s="28" t="s">
        <v>1569</v>
      </c>
      <c r="E424" s="28"/>
      <c r="F424" s="28">
        <v>2023</v>
      </c>
      <c r="G424" s="28" t="s">
        <v>1283</v>
      </c>
      <c r="H424" s="28">
        <v>1</v>
      </c>
    </row>
    <row r="425" spans="1:9" s="14" customFormat="1" ht="45">
      <c r="A425" s="27">
        <v>3</v>
      </c>
      <c r="B425" s="28" t="s">
        <v>1570</v>
      </c>
      <c r="C425" s="28" t="s">
        <v>1571</v>
      </c>
      <c r="D425" s="28" t="s">
        <v>1572</v>
      </c>
      <c r="E425" s="28"/>
      <c r="F425" s="28">
        <v>2023</v>
      </c>
      <c r="G425" s="28" t="s">
        <v>1283</v>
      </c>
      <c r="H425" s="28">
        <v>1</v>
      </c>
    </row>
    <row r="426" spans="1:9" s="14" customFormat="1" ht="45">
      <c r="A426" s="27">
        <v>4</v>
      </c>
      <c r="B426" s="28" t="s">
        <v>1573</v>
      </c>
      <c r="C426" s="28" t="s">
        <v>1574</v>
      </c>
      <c r="D426" s="28" t="s">
        <v>1575</v>
      </c>
      <c r="E426" s="28"/>
      <c r="F426" s="28">
        <v>2022</v>
      </c>
      <c r="G426" s="28" t="s">
        <v>1283</v>
      </c>
      <c r="H426" s="28">
        <v>1</v>
      </c>
    </row>
    <row r="427" spans="1:9" ht="42.75" customHeight="1">
      <c r="A427" s="27">
        <v>5</v>
      </c>
      <c r="B427" s="28" t="s">
        <v>134</v>
      </c>
      <c r="C427" s="29" t="s">
        <v>1155</v>
      </c>
      <c r="D427" s="29" t="s">
        <v>1156</v>
      </c>
      <c r="E427" s="39" t="s">
        <v>1157</v>
      </c>
      <c r="F427" s="28">
        <v>2023</v>
      </c>
      <c r="G427" s="28">
        <v>3540515</v>
      </c>
      <c r="H427" s="28" t="s">
        <v>138</v>
      </c>
    </row>
    <row r="428" spans="1:9" ht="54" customHeight="1">
      <c r="A428" s="90">
        <v>6</v>
      </c>
      <c r="B428" s="91" t="s">
        <v>134</v>
      </c>
      <c r="C428" s="115" t="s">
        <v>1152</v>
      </c>
      <c r="D428" s="115" t="s">
        <v>1153</v>
      </c>
      <c r="E428" s="154" t="s">
        <v>1154</v>
      </c>
      <c r="F428" s="91">
        <v>2021</v>
      </c>
      <c r="G428" s="91">
        <v>2695876</v>
      </c>
      <c r="H428" s="91" t="s">
        <v>138</v>
      </c>
    </row>
    <row r="429" spans="1:9" ht="42.75" customHeight="1">
      <c r="A429" s="90">
        <v>7</v>
      </c>
      <c r="B429" s="91" t="s">
        <v>134</v>
      </c>
      <c r="C429" s="115" t="s">
        <v>1161</v>
      </c>
      <c r="D429" s="155" t="s">
        <v>1162</v>
      </c>
      <c r="E429" s="154" t="s">
        <v>1163</v>
      </c>
      <c r="F429" s="91">
        <v>2021</v>
      </c>
      <c r="G429" s="91">
        <v>2700380</v>
      </c>
      <c r="H429" s="91" t="s">
        <v>138</v>
      </c>
    </row>
    <row r="430" spans="1:9" ht="50.25" customHeight="1">
      <c r="A430" s="27">
        <v>8</v>
      </c>
      <c r="B430" s="28" t="s">
        <v>134</v>
      </c>
      <c r="C430" s="29" t="s">
        <v>1158</v>
      </c>
      <c r="D430" s="29" t="s">
        <v>1159</v>
      </c>
      <c r="E430" s="39" t="s">
        <v>1160</v>
      </c>
      <c r="F430" s="28">
        <v>2020</v>
      </c>
      <c r="G430" s="28">
        <v>2395769</v>
      </c>
      <c r="H430" s="28" t="s">
        <v>138</v>
      </c>
    </row>
    <row r="433" spans="1:8" s="2" customFormat="1" ht="17.25">
      <c r="A433" s="123" t="s">
        <v>1164</v>
      </c>
      <c r="B433" s="123"/>
      <c r="C433" s="123"/>
      <c r="D433" s="156"/>
      <c r="E433" s="123"/>
      <c r="F433" s="123"/>
      <c r="G433" s="123"/>
      <c r="H433" s="123"/>
    </row>
    <row r="434" spans="1:8" s="13" customFormat="1" ht="33">
      <c r="A434" s="24" t="s">
        <v>127</v>
      </c>
      <c r="B434" s="25" t="s">
        <v>128</v>
      </c>
      <c r="C434" s="25" t="s">
        <v>129</v>
      </c>
      <c r="D434" s="25" t="s">
        <v>1</v>
      </c>
      <c r="E434" s="25" t="s">
        <v>130</v>
      </c>
      <c r="F434" s="25" t="s">
        <v>131</v>
      </c>
      <c r="G434" s="25" t="s">
        <v>132</v>
      </c>
      <c r="H434" s="25" t="s">
        <v>133</v>
      </c>
    </row>
    <row r="435" spans="1:8" ht="45.75" customHeight="1">
      <c r="A435" s="27">
        <v>1</v>
      </c>
      <c r="B435" s="27" t="s">
        <v>134</v>
      </c>
      <c r="C435" s="29" t="s">
        <v>1165</v>
      </c>
      <c r="D435" s="29" t="s">
        <v>1166</v>
      </c>
      <c r="E435" s="63" t="s">
        <v>1167</v>
      </c>
      <c r="F435" s="28">
        <v>2021</v>
      </c>
      <c r="G435" s="28">
        <v>2395820</v>
      </c>
      <c r="H435" s="28" t="s">
        <v>138</v>
      </c>
    </row>
    <row r="436" spans="1:8" ht="55.5" customHeight="1">
      <c r="A436" s="27">
        <v>2</v>
      </c>
      <c r="B436" s="27" t="s">
        <v>134</v>
      </c>
      <c r="C436" s="29" t="s">
        <v>1165</v>
      </c>
      <c r="D436" s="29" t="s">
        <v>1168</v>
      </c>
      <c r="E436" s="63" t="s">
        <v>1169</v>
      </c>
      <c r="F436" s="28">
        <v>2021</v>
      </c>
      <c r="G436" s="28">
        <v>2395815</v>
      </c>
      <c r="H436" s="28" t="s">
        <v>138</v>
      </c>
    </row>
    <row r="437" spans="1:8" ht="55.5" customHeight="1">
      <c r="A437" s="27">
        <v>3</v>
      </c>
      <c r="B437" s="27" t="s">
        <v>134</v>
      </c>
      <c r="C437" s="29" t="s">
        <v>1121</v>
      </c>
      <c r="D437" s="29" t="s">
        <v>1122</v>
      </c>
      <c r="E437" s="63" t="s">
        <v>1576</v>
      </c>
      <c r="F437" s="28">
        <v>2021</v>
      </c>
      <c r="G437" s="28">
        <v>3103944</v>
      </c>
      <c r="H437" s="28" t="s">
        <v>138</v>
      </c>
    </row>
    <row r="438" spans="1:8" ht="20.25" customHeight="1">
      <c r="A438" s="27">
        <v>4</v>
      </c>
      <c r="B438" s="27" t="s">
        <v>134</v>
      </c>
      <c r="C438" s="29" t="s">
        <v>1577</v>
      </c>
      <c r="D438" s="29" t="s">
        <v>1175</v>
      </c>
      <c r="E438" s="157" t="s">
        <v>1578</v>
      </c>
      <c r="F438" s="27">
        <v>2020</v>
      </c>
      <c r="G438" s="27">
        <v>2324370</v>
      </c>
      <c r="H438" s="28" t="s">
        <v>138</v>
      </c>
    </row>
    <row r="442" spans="1:8" s="2" customFormat="1" ht="17.25">
      <c r="A442" s="123" t="s">
        <v>1184</v>
      </c>
      <c r="B442" s="123"/>
      <c r="C442" s="123"/>
      <c r="D442" s="156"/>
      <c r="E442" s="123"/>
      <c r="F442" s="123"/>
      <c r="G442" s="123"/>
      <c r="H442" s="123"/>
    </row>
    <row r="443" spans="1:8" s="13" customFormat="1" ht="33">
      <c r="A443" s="24" t="s">
        <v>127</v>
      </c>
      <c r="B443" s="25" t="s">
        <v>128</v>
      </c>
      <c r="C443" s="25" t="s">
        <v>129</v>
      </c>
      <c r="D443" s="25" t="s">
        <v>1</v>
      </c>
      <c r="E443" s="25" t="s">
        <v>130</v>
      </c>
      <c r="F443" s="25" t="s">
        <v>131</v>
      </c>
      <c r="G443" s="25" t="s">
        <v>132</v>
      </c>
      <c r="H443" s="25" t="s">
        <v>133</v>
      </c>
    </row>
    <row r="444" spans="1:8" s="14" customFormat="1" ht="60">
      <c r="A444" s="27">
        <v>1</v>
      </c>
      <c r="B444" s="28" t="s">
        <v>1364</v>
      </c>
      <c r="C444" s="28" t="s">
        <v>1365</v>
      </c>
      <c r="D444" s="28" t="s">
        <v>1366</v>
      </c>
      <c r="E444" s="28"/>
      <c r="F444" s="28">
        <v>2024</v>
      </c>
      <c r="G444" s="28" t="s">
        <v>1265</v>
      </c>
      <c r="H444" s="28">
        <v>1</v>
      </c>
    </row>
    <row r="445" spans="1:8" ht="37.5" customHeight="1">
      <c r="A445" s="27">
        <v>2</v>
      </c>
      <c r="B445" s="28" t="s">
        <v>134</v>
      </c>
      <c r="C445" s="29" t="s">
        <v>1188</v>
      </c>
      <c r="D445" s="29" t="s">
        <v>1189</v>
      </c>
      <c r="E445" s="63" t="s">
        <v>1190</v>
      </c>
      <c r="F445" s="28">
        <v>2021</v>
      </c>
      <c r="G445" s="28">
        <v>2721674</v>
      </c>
      <c r="H445" s="28" t="s">
        <v>138</v>
      </c>
    </row>
    <row r="446" spans="1:8" ht="40.5" customHeight="1">
      <c r="A446" s="27">
        <v>3</v>
      </c>
      <c r="B446" s="28" t="s">
        <v>134</v>
      </c>
      <c r="C446" s="29" t="s">
        <v>1185</v>
      </c>
      <c r="D446" s="29" t="s">
        <v>1186</v>
      </c>
      <c r="E446" s="63" t="s">
        <v>1187</v>
      </c>
      <c r="F446" s="28">
        <v>2020</v>
      </c>
      <c r="G446" s="28">
        <v>2631582</v>
      </c>
      <c r="H446" s="28" t="s">
        <v>138</v>
      </c>
    </row>
    <row r="447" spans="1:8" ht="44.25" customHeight="1">
      <c r="A447" s="27">
        <v>4</v>
      </c>
      <c r="B447" s="28" t="s">
        <v>134</v>
      </c>
      <c r="C447" s="29" t="s">
        <v>1191</v>
      </c>
      <c r="D447" s="29" t="s">
        <v>1192</v>
      </c>
      <c r="E447" s="63" t="s">
        <v>1193</v>
      </c>
      <c r="F447" s="28">
        <v>2020</v>
      </c>
      <c r="G447" s="28">
        <v>2523515</v>
      </c>
      <c r="H447" s="28" t="s">
        <v>138</v>
      </c>
    </row>
    <row r="448" spans="1:8" ht="45.75" customHeight="1">
      <c r="A448" s="27">
        <v>5</v>
      </c>
      <c r="B448" s="28" t="s">
        <v>134</v>
      </c>
      <c r="C448" s="29" t="s">
        <v>1194</v>
      </c>
      <c r="D448" s="29" t="s">
        <v>1195</v>
      </c>
      <c r="E448" s="63" t="s">
        <v>1196</v>
      </c>
      <c r="F448" s="28">
        <v>2020</v>
      </c>
      <c r="G448" s="28">
        <v>2877811</v>
      </c>
      <c r="H448" s="28" t="s">
        <v>138</v>
      </c>
    </row>
    <row r="453" spans="1:8" s="2" customFormat="1" ht="17.25">
      <c r="A453" s="123" t="s">
        <v>1204</v>
      </c>
      <c r="B453" s="125"/>
      <c r="C453" s="125"/>
      <c r="D453" s="124"/>
      <c r="E453" s="125"/>
      <c r="F453" s="125"/>
      <c r="G453" s="125"/>
      <c r="H453" s="125"/>
    </row>
    <row r="454" spans="1:8" s="13" customFormat="1" ht="33">
      <c r="A454" s="24" t="s">
        <v>127</v>
      </c>
      <c r="B454" s="25" t="s">
        <v>128</v>
      </c>
      <c r="C454" s="25" t="s">
        <v>129</v>
      </c>
      <c r="D454" s="25" t="s">
        <v>1</v>
      </c>
      <c r="E454" s="25" t="s">
        <v>130</v>
      </c>
      <c r="F454" s="25" t="s">
        <v>131</v>
      </c>
      <c r="G454" s="25" t="s">
        <v>132</v>
      </c>
      <c r="H454" s="25" t="s">
        <v>133</v>
      </c>
    </row>
    <row r="455" spans="1:8" s="17" customFormat="1" ht="33.75" customHeight="1">
      <c r="A455" s="27">
        <v>1</v>
      </c>
      <c r="B455" s="28" t="s">
        <v>134</v>
      </c>
      <c r="C455" s="29" t="s">
        <v>600</v>
      </c>
      <c r="D455" s="29" t="s">
        <v>601</v>
      </c>
      <c r="E455" s="158" t="s">
        <v>1205</v>
      </c>
      <c r="F455" s="28">
        <v>2020</v>
      </c>
      <c r="G455" s="28">
        <v>1103145</v>
      </c>
      <c r="H455" s="28" t="s">
        <v>138</v>
      </c>
    </row>
    <row r="456" spans="1:8" s="17" customFormat="1" ht="29.25" customHeight="1">
      <c r="A456" s="27">
        <v>2</v>
      </c>
      <c r="B456" s="28" t="s">
        <v>134</v>
      </c>
      <c r="C456" s="29" t="s">
        <v>1206</v>
      </c>
      <c r="D456" s="29" t="s">
        <v>1207</v>
      </c>
      <c r="E456" s="158" t="s">
        <v>1208</v>
      </c>
      <c r="F456" s="28">
        <v>2020</v>
      </c>
      <c r="G456" s="28">
        <v>1103144</v>
      </c>
      <c r="H456" s="28" t="s">
        <v>138</v>
      </c>
    </row>
    <row r="460" spans="1:8" s="2" customFormat="1" ht="17.25">
      <c r="A460" s="123" t="s">
        <v>1213</v>
      </c>
      <c r="B460" s="125"/>
      <c r="C460" s="125"/>
      <c r="D460" s="124"/>
      <c r="E460" s="125"/>
      <c r="F460" s="125"/>
      <c r="G460" s="125"/>
      <c r="H460" s="125"/>
    </row>
    <row r="461" spans="1:8" s="13" customFormat="1" ht="33">
      <c r="A461" s="24" t="s">
        <v>127</v>
      </c>
      <c r="B461" s="25" t="s">
        <v>128</v>
      </c>
      <c r="C461" s="25" t="s">
        <v>129</v>
      </c>
      <c r="D461" s="25" t="s">
        <v>1</v>
      </c>
      <c r="E461" s="25" t="s">
        <v>130</v>
      </c>
      <c r="F461" s="25" t="s">
        <v>131</v>
      </c>
      <c r="G461" s="25" t="s">
        <v>132</v>
      </c>
      <c r="H461" s="25" t="s">
        <v>133</v>
      </c>
    </row>
    <row r="462" spans="1:8" s="14" customFormat="1" ht="53.1" customHeight="1">
      <c r="A462" s="27">
        <v>1</v>
      </c>
      <c r="B462" s="28" t="s">
        <v>134</v>
      </c>
      <c r="C462" s="29" t="s">
        <v>1579</v>
      </c>
      <c r="D462" s="29" t="s">
        <v>1580</v>
      </c>
      <c r="E462" s="87" t="s">
        <v>1581</v>
      </c>
      <c r="F462" s="28">
        <v>2023</v>
      </c>
      <c r="G462" s="28">
        <v>3410993</v>
      </c>
      <c r="H462" s="28"/>
    </row>
    <row r="463" spans="1:8" s="6" customFormat="1" ht="48.95" customHeight="1">
      <c r="A463" s="28">
        <v>2</v>
      </c>
      <c r="B463" s="28" t="s">
        <v>134</v>
      </c>
      <c r="C463" s="29" t="s">
        <v>1582</v>
      </c>
      <c r="D463" s="29" t="s">
        <v>1583</v>
      </c>
      <c r="E463" s="159" t="s">
        <v>1584</v>
      </c>
      <c r="F463" s="28">
        <v>2020</v>
      </c>
      <c r="G463" s="28">
        <v>2390175</v>
      </c>
      <c r="H463" s="28"/>
    </row>
    <row r="464" spans="1:8" s="6" customFormat="1" ht="42" customHeight="1">
      <c r="A464" s="28">
        <v>3</v>
      </c>
      <c r="B464" s="28" t="s">
        <v>134</v>
      </c>
      <c r="C464" s="29" t="s">
        <v>1585</v>
      </c>
      <c r="D464" s="29" t="s">
        <v>1586</v>
      </c>
      <c r="E464" s="63" t="s">
        <v>1587</v>
      </c>
      <c r="F464" s="28">
        <v>2020</v>
      </c>
      <c r="G464" s="28">
        <v>2631404</v>
      </c>
      <c r="H464" s="28"/>
    </row>
    <row r="465" spans="1:8" s="6" customFormat="1" ht="33" customHeight="1">
      <c r="A465" s="28">
        <v>4</v>
      </c>
      <c r="B465" s="28" t="s">
        <v>134</v>
      </c>
      <c r="C465" s="29" t="s">
        <v>1588</v>
      </c>
      <c r="D465" s="29" t="s">
        <v>1589</v>
      </c>
      <c r="E465" s="63" t="s">
        <v>1590</v>
      </c>
      <c r="F465" s="28">
        <v>2020</v>
      </c>
      <c r="G465" s="28">
        <v>3280589</v>
      </c>
      <c r="H465" s="28"/>
    </row>
    <row r="466" spans="1:8" s="6" customFormat="1" ht="42" customHeight="1">
      <c r="A466" s="68"/>
      <c r="B466" s="68"/>
      <c r="C466" s="34"/>
      <c r="D466" s="34"/>
      <c r="E466" s="69"/>
      <c r="F466" s="68"/>
      <c r="G466" s="68"/>
      <c r="H466" s="68"/>
    </row>
    <row r="468" spans="1:8" s="2" customFormat="1" ht="17.25">
      <c r="A468" s="123" t="s">
        <v>1225</v>
      </c>
      <c r="B468" s="125"/>
      <c r="C468" s="125"/>
      <c r="D468" s="124"/>
      <c r="E468" s="125"/>
      <c r="F468" s="125"/>
      <c r="G468" s="125"/>
      <c r="H468" s="125"/>
    </row>
    <row r="469" spans="1:8" s="13" customFormat="1" ht="33">
      <c r="A469" s="24" t="s">
        <v>127</v>
      </c>
      <c r="B469" s="25" t="s">
        <v>128</v>
      </c>
      <c r="C469" s="25" t="s">
        <v>129</v>
      </c>
      <c r="D469" s="25" t="s">
        <v>1</v>
      </c>
      <c r="E469" s="25" t="s">
        <v>130</v>
      </c>
      <c r="F469" s="25" t="s">
        <v>131</v>
      </c>
      <c r="G469" s="25" t="s">
        <v>132</v>
      </c>
      <c r="H469" s="25" t="s">
        <v>133</v>
      </c>
    </row>
    <row r="470" spans="1:8" s="2" customFormat="1" ht="17.25">
      <c r="A470" s="160"/>
      <c r="B470" s="160"/>
      <c r="C470" s="160"/>
      <c r="D470" s="161"/>
      <c r="E470" s="160"/>
      <c r="F470" s="160"/>
      <c r="G470" s="160"/>
      <c r="H470" s="160"/>
    </row>
    <row r="471" spans="1:8" s="2" customFormat="1" ht="17.25">
      <c r="A471" s="123" t="s">
        <v>1226</v>
      </c>
      <c r="B471" s="125"/>
      <c r="C471" s="125"/>
      <c r="D471" s="124"/>
      <c r="E471" s="125"/>
      <c r="F471" s="125"/>
      <c r="G471" s="125"/>
      <c r="H471" s="125"/>
    </row>
    <row r="472" spans="1:8" s="13" customFormat="1" ht="33">
      <c r="A472" s="24" t="s">
        <v>127</v>
      </c>
      <c r="B472" s="25" t="s">
        <v>128</v>
      </c>
      <c r="C472" s="25" t="s">
        <v>129</v>
      </c>
      <c r="D472" s="25" t="s">
        <v>1</v>
      </c>
      <c r="E472" s="25" t="s">
        <v>130</v>
      </c>
      <c r="F472" s="25" t="s">
        <v>131</v>
      </c>
      <c r="G472" s="25" t="s">
        <v>132</v>
      </c>
      <c r="H472" s="25" t="s">
        <v>133</v>
      </c>
    </row>
    <row r="475" spans="1:8" s="18" customFormat="1" ht="18">
      <c r="A475" s="18" t="s">
        <v>1591</v>
      </c>
      <c r="D475" s="162"/>
    </row>
    <row r="477" spans="1:8" s="2" customFormat="1" ht="17.25">
      <c r="A477" s="123" t="s">
        <v>1230</v>
      </c>
      <c r="B477" s="123"/>
      <c r="C477" s="123"/>
      <c r="D477" s="156"/>
      <c r="E477" s="123"/>
      <c r="F477" s="123"/>
      <c r="G477" s="123"/>
      <c r="H477" s="123"/>
    </row>
    <row r="478" spans="1:8" s="13" customFormat="1" ht="33">
      <c r="A478" s="24" t="s">
        <v>127</v>
      </c>
      <c r="B478" s="25" t="s">
        <v>128</v>
      </c>
      <c r="C478" s="25" t="s">
        <v>129</v>
      </c>
      <c r="D478" s="25" t="s">
        <v>1</v>
      </c>
      <c r="E478" s="25" t="s">
        <v>130</v>
      </c>
      <c r="F478" s="25" t="s">
        <v>131</v>
      </c>
      <c r="G478" s="25" t="s">
        <v>132</v>
      </c>
      <c r="H478" s="25" t="s">
        <v>133</v>
      </c>
    </row>
    <row r="479" spans="1:8" s="14" customFormat="1" ht="39.950000000000003" customHeight="1">
      <c r="A479" s="27">
        <v>1</v>
      </c>
      <c r="B479" s="28" t="s">
        <v>134</v>
      </c>
      <c r="C479" s="29" t="s">
        <v>1592</v>
      </c>
      <c r="D479" s="29" t="s">
        <v>1593</v>
      </c>
      <c r="E479" s="63" t="s">
        <v>1594</v>
      </c>
      <c r="F479" s="28">
        <v>2021</v>
      </c>
      <c r="G479" s="28">
        <v>2907830</v>
      </c>
      <c r="H479" s="28" t="s">
        <v>138</v>
      </c>
    </row>
    <row r="480" spans="1:8" s="14" customFormat="1" ht="30" customHeight="1">
      <c r="A480" s="27">
        <v>2</v>
      </c>
      <c r="B480" s="28" t="s">
        <v>134</v>
      </c>
      <c r="C480" s="29" t="s">
        <v>1595</v>
      </c>
      <c r="D480" s="29" t="s">
        <v>1596</v>
      </c>
      <c r="E480" s="63" t="s">
        <v>1597</v>
      </c>
      <c r="F480" s="28">
        <v>2020</v>
      </c>
      <c r="G480" s="28">
        <v>2725300</v>
      </c>
      <c r="H480" s="28" t="s">
        <v>138</v>
      </c>
    </row>
    <row r="481" spans="1:8" ht="34.5" customHeight="1">
      <c r="A481" s="27">
        <v>3</v>
      </c>
      <c r="B481" s="139" t="s">
        <v>134</v>
      </c>
      <c r="C481" s="29" t="s">
        <v>1231</v>
      </c>
      <c r="D481" s="29" t="s">
        <v>1232</v>
      </c>
      <c r="E481" s="39" t="s">
        <v>1598</v>
      </c>
      <c r="F481" s="28">
        <v>2019</v>
      </c>
      <c r="G481" s="28">
        <v>2324353</v>
      </c>
      <c r="H481" s="28" t="s">
        <v>138</v>
      </c>
    </row>
    <row r="482" spans="1:8">
      <c r="A482" s="96"/>
      <c r="B482" s="96"/>
      <c r="C482" s="96"/>
      <c r="D482" s="82"/>
      <c r="E482" s="96"/>
      <c r="F482" s="96"/>
      <c r="G482" s="96"/>
      <c r="H482" s="96"/>
    </row>
    <row r="483" spans="1:8" s="2" customFormat="1" ht="17.25">
      <c r="A483" s="123" t="s">
        <v>1233</v>
      </c>
      <c r="B483" s="123"/>
      <c r="C483" s="123"/>
      <c r="D483" s="156"/>
      <c r="E483" s="123"/>
      <c r="F483" s="123"/>
      <c r="G483" s="123"/>
      <c r="H483" s="123"/>
    </row>
    <row r="484" spans="1:8" s="13" customFormat="1" ht="33">
      <c r="A484" s="24" t="s">
        <v>127</v>
      </c>
      <c r="B484" s="25" t="s">
        <v>128</v>
      </c>
      <c r="C484" s="25" t="s">
        <v>129</v>
      </c>
      <c r="D484" s="25" t="s">
        <v>1</v>
      </c>
      <c r="E484" s="25" t="s">
        <v>130</v>
      </c>
      <c r="F484" s="25" t="s">
        <v>131</v>
      </c>
      <c r="G484" s="25" t="s">
        <v>132</v>
      </c>
      <c r="H484" s="25" t="s">
        <v>133</v>
      </c>
    </row>
    <row r="485" spans="1:8" s="13" customFormat="1" ht="84" customHeight="1">
      <c r="A485" s="27">
        <v>1</v>
      </c>
      <c r="B485" s="28" t="s">
        <v>134</v>
      </c>
      <c r="C485" s="29" t="s">
        <v>1599</v>
      </c>
      <c r="D485" s="29" t="s">
        <v>1600</v>
      </c>
      <c r="E485" s="63" t="s">
        <v>1601</v>
      </c>
      <c r="F485" s="28">
        <v>2022</v>
      </c>
      <c r="G485" s="28">
        <v>155912523</v>
      </c>
      <c r="H485" s="28" t="s">
        <v>138</v>
      </c>
    </row>
    <row r="486" spans="1:8" s="13" customFormat="1" ht="63" customHeight="1">
      <c r="A486" s="27">
        <v>2</v>
      </c>
      <c r="B486" s="28" t="s">
        <v>134</v>
      </c>
      <c r="C486" s="29" t="s">
        <v>1602</v>
      </c>
      <c r="D486" s="29" t="s">
        <v>1603</v>
      </c>
      <c r="E486" s="63" t="s">
        <v>1604</v>
      </c>
      <c r="F486" s="28">
        <v>2022</v>
      </c>
      <c r="G486" s="28">
        <v>160147524</v>
      </c>
      <c r="H486" s="28" t="s">
        <v>138</v>
      </c>
    </row>
    <row r="487" spans="1:8" ht="15.75">
      <c r="A487" s="163"/>
      <c r="B487" s="164"/>
      <c r="C487" s="164"/>
      <c r="D487" s="164"/>
      <c r="E487" s="164"/>
      <c r="F487" s="164"/>
      <c r="G487" s="164"/>
      <c r="H487" s="164"/>
    </row>
    <row r="488" spans="1:8">
      <c r="A488" s="96"/>
      <c r="B488" s="96"/>
      <c r="C488" s="96"/>
      <c r="D488" s="82"/>
      <c r="E488" s="96"/>
      <c r="F488" s="96"/>
      <c r="G488" s="96"/>
      <c r="H488" s="96"/>
    </row>
    <row r="489" spans="1:8" ht="15.75">
      <c r="A489" s="135" t="s">
        <v>1234</v>
      </c>
      <c r="B489" s="135"/>
      <c r="C489" s="135"/>
      <c r="D489" s="165"/>
      <c r="E489" s="135"/>
      <c r="F489" s="135"/>
      <c r="G489" s="135"/>
      <c r="H489" s="135"/>
    </row>
    <row r="490" spans="1:8" s="13" customFormat="1" ht="33">
      <c r="A490" s="24" t="s">
        <v>127</v>
      </c>
      <c r="B490" s="25" t="s">
        <v>128</v>
      </c>
      <c r="C490" s="25" t="s">
        <v>129</v>
      </c>
      <c r="D490" s="25" t="s">
        <v>1</v>
      </c>
      <c r="E490" s="25" t="s">
        <v>130</v>
      </c>
      <c r="F490" s="25" t="s">
        <v>131</v>
      </c>
      <c r="G490" s="25" t="s">
        <v>132</v>
      </c>
      <c r="H490" s="25" t="s">
        <v>133</v>
      </c>
    </row>
    <row r="491" spans="1:8" s="14" customFormat="1" ht="27" customHeight="1">
      <c r="A491" s="27">
        <v>1</v>
      </c>
      <c r="B491" s="28" t="s">
        <v>134</v>
      </c>
      <c r="C491" s="29" t="s">
        <v>1605</v>
      </c>
      <c r="D491" s="29" t="s">
        <v>1606</v>
      </c>
      <c r="E491" s="63" t="s">
        <v>1607</v>
      </c>
      <c r="F491" s="28">
        <v>2022</v>
      </c>
      <c r="G491" s="28">
        <v>3171865</v>
      </c>
      <c r="H491" s="28" t="s">
        <v>138</v>
      </c>
    </row>
    <row r="492" spans="1:8" s="14" customFormat="1" ht="57" customHeight="1">
      <c r="A492" s="27">
        <v>2</v>
      </c>
      <c r="B492" s="28" t="s">
        <v>134</v>
      </c>
      <c r="C492" s="29" t="s">
        <v>1551</v>
      </c>
      <c r="D492" s="29" t="s">
        <v>1552</v>
      </c>
      <c r="E492" s="63" t="s">
        <v>1608</v>
      </c>
      <c r="F492" s="28">
        <v>2022</v>
      </c>
      <c r="G492" s="28">
        <v>3368096</v>
      </c>
      <c r="H492" s="28" t="s">
        <v>138</v>
      </c>
    </row>
    <row r="493" spans="1:8" s="14" customFormat="1" ht="31.5" customHeight="1">
      <c r="A493" s="27">
        <v>3</v>
      </c>
      <c r="B493" s="28" t="s">
        <v>134</v>
      </c>
      <c r="C493" s="29" t="s">
        <v>1609</v>
      </c>
      <c r="D493" s="29" t="s">
        <v>1610</v>
      </c>
      <c r="E493" s="63" t="s">
        <v>1611</v>
      </c>
      <c r="F493" s="28">
        <v>2020</v>
      </c>
      <c r="G493" s="28">
        <v>2640789</v>
      </c>
      <c r="H493" s="28" t="s">
        <v>138</v>
      </c>
    </row>
    <row r="494" spans="1:8" s="3" customFormat="1" ht="29.25" customHeight="1">
      <c r="A494" s="28">
        <v>4</v>
      </c>
      <c r="B494" s="28" t="s">
        <v>134</v>
      </c>
      <c r="C494" s="29" t="s">
        <v>1560</v>
      </c>
      <c r="D494" s="29" t="s">
        <v>1561</v>
      </c>
      <c r="E494" s="39" t="s">
        <v>1562</v>
      </c>
      <c r="F494" s="28">
        <v>2020</v>
      </c>
      <c r="G494" s="28">
        <v>2377629</v>
      </c>
      <c r="H494" s="28" t="s">
        <v>138</v>
      </c>
    </row>
    <row r="495" spans="1:8" ht="15.75">
      <c r="A495" s="96"/>
      <c r="B495" s="96"/>
      <c r="C495" s="164"/>
      <c r="D495" s="164"/>
      <c r="E495" s="164"/>
      <c r="F495" s="164"/>
      <c r="G495" s="164"/>
      <c r="H495" s="164"/>
    </row>
    <row r="496" spans="1:8" ht="15.75">
      <c r="A496" s="96"/>
      <c r="B496" s="96"/>
      <c r="C496" s="164"/>
      <c r="D496" s="164"/>
      <c r="E496" s="164"/>
      <c r="F496" s="164"/>
      <c r="G496" s="164"/>
      <c r="H496" s="164"/>
    </row>
    <row r="497" spans="1:8" s="13" customFormat="1" ht="17.25">
      <c r="A497" s="36" t="s">
        <v>1237</v>
      </c>
      <c r="B497" s="166"/>
      <c r="C497" s="166"/>
      <c r="D497" s="167"/>
      <c r="E497" s="166"/>
      <c r="F497" s="166"/>
      <c r="G497" s="166"/>
      <c r="H497" s="166"/>
    </row>
    <row r="498" spans="1:8" s="13" customFormat="1" ht="33">
      <c r="A498" s="24" t="s">
        <v>127</v>
      </c>
      <c r="B498" s="25" t="s">
        <v>128</v>
      </c>
      <c r="C498" s="25" t="s">
        <v>129</v>
      </c>
      <c r="D498" s="25" t="s">
        <v>1</v>
      </c>
      <c r="E498" s="25" t="s">
        <v>130</v>
      </c>
      <c r="F498" s="25" t="s">
        <v>131</v>
      </c>
      <c r="G498" s="25" t="s">
        <v>132</v>
      </c>
      <c r="H498" s="25" t="s">
        <v>133</v>
      </c>
    </row>
    <row r="499" spans="1:8" ht="64.5" customHeight="1">
      <c r="A499" s="27">
        <v>1</v>
      </c>
      <c r="B499" s="28" t="s">
        <v>134</v>
      </c>
      <c r="C499" s="29" t="s">
        <v>1238</v>
      </c>
      <c r="D499" s="29" t="s">
        <v>1239</v>
      </c>
      <c r="E499" s="39" t="s">
        <v>1240</v>
      </c>
      <c r="F499" s="28">
        <v>2021</v>
      </c>
      <c r="G499" s="28">
        <v>2631279</v>
      </c>
      <c r="H499" s="28" t="s">
        <v>138</v>
      </c>
    </row>
    <row r="500" spans="1:8" ht="34.5" customHeight="1">
      <c r="A500" s="27">
        <v>2</v>
      </c>
      <c r="B500" s="28" t="s">
        <v>134</v>
      </c>
      <c r="C500" s="29" t="s">
        <v>1241</v>
      </c>
      <c r="D500" s="29" t="s">
        <v>1242</v>
      </c>
      <c r="E500" s="39" t="s">
        <v>1243</v>
      </c>
      <c r="F500" s="28">
        <v>2021</v>
      </c>
      <c r="G500" s="28">
        <v>1103392</v>
      </c>
      <c r="H500" s="28" t="s">
        <v>138</v>
      </c>
    </row>
    <row r="501" spans="1:8" ht="44.25" customHeight="1">
      <c r="A501" s="27">
        <v>3</v>
      </c>
      <c r="B501" s="28" t="s">
        <v>134</v>
      </c>
      <c r="C501" s="29" t="s">
        <v>1241</v>
      </c>
      <c r="D501" s="32" t="s">
        <v>1244</v>
      </c>
      <c r="E501" s="39" t="s">
        <v>1245</v>
      </c>
      <c r="F501" s="28">
        <v>2021</v>
      </c>
      <c r="G501" s="28">
        <v>1103340</v>
      </c>
      <c r="H501" s="28" t="s">
        <v>138</v>
      </c>
    </row>
    <row r="503" spans="1:8" ht="10.5" customHeight="1"/>
    <row r="504" spans="1:8" s="17" customFormat="1" ht="15.75">
      <c r="A504" s="168" t="s">
        <v>1246</v>
      </c>
      <c r="B504" s="169"/>
      <c r="C504" s="169"/>
      <c r="D504" s="170"/>
      <c r="E504" s="169"/>
      <c r="F504" s="169"/>
      <c r="G504" s="169"/>
      <c r="H504" s="169"/>
    </row>
    <row r="505" spans="1:8" s="19" customFormat="1" ht="32.1" customHeight="1">
      <c r="A505" s="171" t="s">
        <v>127</v>
      </c>
      <c r="B505" s="117" t="s">
        <v>128</v>
      </c>
      <c r="C505" s="117" t="s">
        <v>129</v>
      </c>
      <c r="D505" s="117" t="s">
        <v>1</v>
      </c>
      <c r="E505" s="117" t="s">
        <v>130</v>
      </c>
      <c r="F505" s="117" t="s">
        <v>131</v>
      </c>
      <c r="G505" s="117" t="s">
        <v>132</v>
      </c>
      <c r="H505" s="117" t="s">
        <v>133</v>
      </c>
    </row>
    <row r="506" spans="1:8" s="19" customFormat="1" ht="45">
      <c r="A506" s="27">
        <v>1</v>
      </c>
      <c r="B506" s="28" t="s">
        <v>1612</v>
      </c>
      <c r="C506" s="29" t="s">
        <v>1613</v>
      </c>
      <c r="D506" s="29" t="s">
        <v>1614</v>
      </c>
      <c r="E506" s="28"/>
      <c r="F506" s="28">
        <v>2023</v>
      </c>
      <c r="G506" s="28" t="s">
        <v>1283</v>
      </c>
      <c r="H506" s="28">
        <v>1</v>
      </c>
    </row>
    <row r="507" spans="1:8" s="19" customFormat="1" ht="33.75" customHeight="1">
      <c r="A507" s="27">
        <v>2</v>
      </c>
      <c r="B507" s="28" t="s">
        <v>134</v>
      </c>
      <c r="C507" s="29" t="s">
        <v>1615</v>
      </c>
      <c r="D507" s="29" t="s">
        <v>1616</v>
      </c>
      <c r="E507" s="63" t="s">
        <v>1617</v>
      </c>
      <c r="F507" s="28">
        <v>2022</v>
      </c>
      <c r="G507" s="28">
        <v>3270398</v>
      </c>
      <c r="H507" s="28"/>
    </row>
    <row r="508" spans="1:8" s="19" customFormat="1" ht="57" customHeight="1">
      <c r="A508" s="27">
        <v>3</v>
      </c>
      <c r="B508" s="28" t="s">
        <v>134</v>
      </c>
      <c r="C508" s="29" t="s">
        <v>1161</v>
      </c>
      <c r="D508" s="29" t="s">
        <v>1162</v>
      </c>
      <c r="E508" s="63" t="s">
        <v>1480</v>
      </c>
      <c r="F508" s="28">
        <v>2021</v>
      </c>
      <c r="G508" s="28">
        <v>2700380</v>
      </c>
      <c r="H508" s="28"/>
    </row>
    <row r="509" spans="1:8" s="19" customFormat="1" ht="17.25" customHeight="1">
      <c r="A509" s="35"/>
      <c r="B509" s="68"/>
      <c r="C509" s="34"/>
      <c r="D509" s="34"/>
      <c r="E509" s="69"/>
      <c r="F509" s="68"/>
      <c r="G509" s="68"/>
      <c r="H509" s="68"/>
    </row>
    <row r="511" spans="1:8" s="1" customFormat="1" ht="18.75">
      <c r="A511" s="151" t="s">
        <v>1257</v>
      </c>
      <c r="B511" s="152"/>
      <c r="C511" s="152"/>
      <c r="D511" s="153"/>
      <c r="E511" s="152"/>
      <c r="F511" s="152"/>
      <c r="G511" s="152"/>
      <c r="H511" s="152"/>
    </row>
    <row r="512" spans="1:8" ht="15.75">
      <c r="A512" s="135"/>
      <c r="B512" s="136"/>
      <c r="C512" s="136"/>
      <c r="D512" s="137"/>
      <c r="E512" s="136"/>
      <c r="F512" s="136"/>
      <c r="G512" s="136"/>
      <c r="H512" s="136"/>
    </row>
    <row r="513" spans="1:8" s="13" customFormat="1" ht="17.25">
      <c r="A513" s="36" t="s">
        <v>1226</v>
      </c>
      <c r="B513" s="166"/>
      <c r="C513" s="166"/>
      <c r="D513" s="167"/>
      <c r="E513" s="166"/>
      <c r="F513" s="166"/>
      <c r="G513" s="166"/>
      <c r="H513" s="166"/>
    </row>
    <row r="514" spans="1:8" s="11" customFormat="1" ht="33">
      <c r="A514" s="24" t="s">
        <v>127</v>
      </c>
      <c r="B514" s="25" t="s">
        <v>128</v>
      </c>
      <c r="C514" s="25" t="s">
        <v>129</v>
      </c>
      <c r="D514" s="25" t="s">
        <v>1</v>
      </c>
      <c r="E514" s="25" t="s">
        <v>130</v>
      </c>
      <c r="F514" s="25" t="s">
        <v>131</v>
      </c>
      <c r="G514" s="25" t="s">
        <v>132</v>
      </c>
      <c r="H514" s="25" t="s">
        <v>133</v>
      </c>
    </row>
    <row r="523" spans="1:8" s="5" customFormat="1">
      <c r="A523" s="319" t="s">
        <v>120</v>
      </c>
      <c r="B523" s="319"/>
      <c r="D523" s="271"/>
      <c r="E523" s="5" t="s">
        <v>122</v>
      </c>
    </row>
    <row r="524" spans="1:8" s="5" customFormat="1">
      <c r="D524" s="271"/>
      <c r="E524" s="172"/>
    </row>
    <row r="525" spans="1:8" s="5" customFormat="1" ht="15.75">
      <c r="B525" s="287" t="s">
        <v>1621</v>
      </c>
      <c r="C525" s="287"/>
      <c r="D525" s="271"/>
      <c r="E525" s="287" t="s">
        <v>1623</v>
      </c>
      <c r="F525" s="287"/>
    </row>
    <row r="526" spans="1:8" s="5" customFormat="1">
      <c r="B526" s="319" t="s">
        <v>1622</v>
      </c>
      <c r="C526" s="319"/>
      <c r="D526" s="271"/>
      <c r="E526" s="319" t="s">
        <v>1624</v>
      </c>
      <c r="F526" s="319"/>
    </row>
  </sheetData>
  <sortState ref="A284:J290">
    <sortCondition descending="1" ref="F284:F290"/>
  </sortState>
  <mergeCells count="14">
    <mergeCell ref="A523:B523"/>
    <mergeCell ref="B525:C525"/>
    <mergeCell ref="B526:C526"/>
    <mergeCell ref="E525:F525"/>
    <mergeCell ref="E526:F526"/>
    <mergeCell ref="A293:H293"/>
    <mergeCell ref="A306:H306"/>
    <mergeCell ref="A317:H317"/>
    <mergeCell ref="D1:E7"/>
    <mergeCell ref="A15:H15"/>
    <mergeCell ref="A56:J56"/>
    <mergeCell ref="A111:F111"/>
    <mergeCell ref="A162:F162"/>
    <mergeCell ref="A177:H177"/>
  </mergeCells>
  <hyperlinks>
    <hyperlink ref="E23" r:id="rId1"/>
    <hyperlink ref="E24" r:id="rId2"/>
    <hyperlink ref="E25" r:id="rId3"/>
    <hyperlink ref="E26" r:id="rId4"/>
    <hyperlink ref="E27" r:id="rId5"/>
    <hyperlink ref="E37" r:id="rId6" display="https://research.ebsco.com/c/fcl55w/search/details/pcibxxp4fz?db=e000xww%2Cnlebk%2Cagp%2Cofm%2Cddu&amp;limiters=DT1%3A2014-11-26%2F2024-11-26&amp;q=Mathematics%20As%20the%20Science%20of%20Patterns%3A%20Making%20the%20Invisible%20Visible%20to%20Students%20Through%20Teaching"/>
    <hyperlink ref="E38" r:id="rId7"/>
    <hyperlink ref="E39" r:id="rId8"/>
    <hyperlink ref="E50" r:id="rId9"/>
    <hyperlink ref="E47" r:id="rId10"/>
    <hyperlink ref="E51" r:id="rId11"/>
    <hyperlink ref="E48" r:id="rId12" display="https://research.ebsco.com/c/fcl55w/search/details/rv5f7puqsz?db=e000xww%2Cnlebk%2Cagp%2Cofm%2Cddu&amp;limiters=DT1%3A2014-11-26%2F2024-11-26&amp;q=Thriving%20with%20Stone%20Age%20Minds%20%3A%20Evolutionary%20Psychology%2C%20Christian%20Faith%2C%20and%20the%20Quest%20for%20Human%20Flourishing"/>
    <hyperlink ref="E49" r:id="rId13"/>
    <hyperlink ref="E60" r:id="rId14"/>
    <hyperlink ref="E61" r:id="rId15"/>
    <hyperlink ref="E62" r:id="rId16" display="https://research.ebsco.com/c/fcl55w/search/details/ibvfvwn74n?db=e000xww%2Cnlebk%2Cagp%2Cofm%2Cddu&amp;limiters=DT1%3A2019-11-26%2F2024-11-26%2CFT%3AY&amp;q=Human%20Resources%20Management%20and%20Ethics%3A%20Responsibilities%2C%20Actions%2C%20Issues%2C%20and%20Experiences"/>
    <hyperlink ref="E76" r:id="rId17"/>
    <hyperlink ref="E78" r:id="rId18"/>
    <hyperlink ref="E79" r:id="rId19"/>
    <hyperlink ref="C98" r:id="rId20" tooltip="Search for Michael C. Hawkins"/>
    <hyperlink ref="C100" r:id="rId21" tooltip="Search for René Alexander D. Orquiza"/>
    <hyperlink ref="E91" r:id="rId22" display="https://research.ebsco.com/c/fcl55w/search/details/oscrnxd2j5?db=e000xww%2Cnlebk%2Cagp%2Cofm%2Cddu&amp;limiters=DT1%3A2014-11-26%2F2024-11-26&amp;q=Freedom%20Incorporated%20%3A%20Anticommunism%20and%C2%A0Philippine%C2%A0Independence%20in%20the%20Age%20of%20Decolonization"/>
    <hyperlink ref="E92" r:id="rId23"/>
    <hyperlink ref="E93" r:id="rId24"/>
    <hyperlink ref="E95" r:id="rId25"/>
    <hyperlink ref="E96" r:id="rId26"/>
    <hyperlink ref="E97" r:id="rId27" display="https://research.ebsco.com/c/fcl55w/search/details/7n2himkjw5?db=e000xww%2Cnlebk%2Cagp%2Cofm%2Cddu&amp;limiters=DT1%3A2014-11-26%2F2024-11-26&amp;q=Asian%20Place%2C%20Filipino%20Nation%20%3A%20A%20Global%20Intellectual%20History%20of%20the%20Philippine%20Revolution"/>
    <hyperlink ref="E98" r:id="rId28"/>
    <hyperlink ref="E99" r:id="rId29" display="https://research.ebsco.com/c/fcl55w/search/details/oscrnxd2j5?db=e000xww%2Cnlebk%2Cagp%2Cofm%2Cddu&amp;limiters=DT1%3A2014-11-27%2F2024-11-27&amp;q=Freedom%20Incorporated%20%3A%20Anticommunism%20and%C2%A0Philippine%C2%A0Independence%20in%20the%20Age%20of%20Decolonization"/>
    <hyperlink ref="E100" r:id="rId30"/>
    <hyperlink ref="E108" r:id="rId31"/>
    <hyperlink ref="C119" r:id="rId32" tooltip="Search for John Eric Goff"/>
    <hyperlink ref="E119" r:id="rId33"/>
    <hyperlink ref="E130" r:id="rId34"/>
    <hyperlink ref="E131" r:id="rId35"/>
    <hyperlink ref="E132" r:id="rId36"/>
    <hyperlink ref="E135" r:id="rId37"/>
    <hyperlink ref="E138" r:id="rId38"/>
    <hyperlink ref="E148" r:id="rId39"/>
    <hyperlink ref="E149" r:id="rId40"/>
    <hyperlink ref="E150" r:id="rId41"/>
    <hyperlink ref="E164" r:id="rId42"/>
    <hyperlink ref="E165" r:id="rId43"/>
    <hyperlink ref="E174" r:id="rId44"/>
    <hyperlink ref="E173" r:id="rId45"/>
    <hyperlink ref="E179" r:id="rId46"/>
    <hyperlink ref="E187" r:id="rId47"/>
    <hyperlink ref="E188" r:id="rId48"/>
    <hyperlink ref="E210" r:id="rId49"/>
    <hyperlink ref="E211" r:id="rId50"/>
    <hyperlink ref="E212" r:id="rId51"/>
    <hyperlink ref="E219" r:id="rId52"/>
    <hyperlink ref="E220" r:id="rId53"/>
    <hyperlink ref="E227" r:id="rId54"/>
    <hyperlink ref="E226" r:id="rId55"/>
    <hyperlink ref="E225" r:id="rId56"/>
    <hyperlink ref="E236" r:id="rId57"/>
    <hyperlink ref="E235" r:id="rId58"/>
    <hyperlink ref="E234" r:id="rId59"/>
    <hyperlink ref="E241" r:id="rId60"/>
    <hyperlink ref="E243" r:id="rId61"/>
    <hyperlink ref="E242" r:id="rId62"/>
    <hyperlink ref="E265" r:id="rId63"/>
    <hyperlink ref="E290" r:id="rId64"/>
    <hyperlink ref="E284" r:id="rId65"/>
    <hyperlink ref="E283" r:id="rId66"/>
    <hyperlink ref="E287" r:id="rId67"/>
    <hyperlink ref="E298" r:id="rId68"/>
    <hyperlink ref="E322" r:id="rId69"/>
    <hyperlink ref="E321" r:id="rId70"/>
    <hyperlink ref="E320" r:id="rId71"/>
    <hyperlink ref="E330" r:id="rId72"/>
    <hyperlink ref="E350" r:id="rId73"/>
    <hyperlink ref="E352" r:id="rId74"/>
    <hyperlink ref="E364" r:id="rId75"/>
    <hyperlink ref="E366" r:id="rId76"/>
    <hyperlink ref="E375" r:id="rId77"/>
    <hyperlink ref="E376" r:id="rId78"/>
    <hyperlink ref="E373" r:id="rId79"/>
    <hyperlink ref="E374" r:id="rId80"/>
    <hyperlink ref="E390" r:id="rId81"/>
    <hyperlink ref="E429" r:id="rId82" display="https://research.ebsco.com/c/fcl55w/search/details/msfa5seu4f?db=e000xww%2Cnlebk%2Cagp%2Cofm%2Cddu&amp;limiters=DT1%3A2019-11-26%2F2024-11-26&amp;q=Sustainable%20Natural%20Resource%20Management%20in%20the%20Himalayan%20Region%3A%20Livelihood%20and%20Climate%20Change"/>
    <hyperlink ref="E430" r:id="rId83"/>
    <hyperlink ref="E427" r:id="rId84"/>
    <hyperlink ref="E428" r:id="rId85"/>
    <hyperlink ref="E436" r:id="rId86"/>
    <hyperlink ref="E435" r:id="rId87"/>
    <hyperlink ref="E438" r:id="rId88"/>
    <hyperlink ref="E445" r:id="rId89"/>
    <hyperlink ref="E447" r:id="rId90"/>
    <hyperlink ref="E446" r:id="rId91"/>
    <hyperlink ref="E448" r:id="rId92"/>
    <hyperlink ref="E456" r:id="rId93"/>
    <hyperlink ref="E455" r:id="rId94"/>
    <hyperlink ref="E501" r:id="rId95"/>
    <hyperlink ref="E500" r:id="rId96"/>
    <hyperlink ref="E499" r:id="rId97"/>
    <hyperlink ref="E481" r:id="rId98"/>
    <hyperlink ref="E286" r:id="rId99"/>
    <hyperlink ref="E288" r:id="rId100"/>
    <hyperlink ref="E289" r:id="rId101"/>
    <hyperlink ref="E137" r:id="rId102"/>
    <hyperlink ref="E133" r:id="rId103"/>
    <hyperlink ref="E136" r:id="rId104"/>
    <hyperlink ref="E134" r:id="rId105"/>
    <hyperlink ref="E87" r:id="rId106"/>
    <hyperlink ref="E90" r:id="rId107"/>
    <hyperlink ref="E88" r:id="rId108"/>
    <hyperlink ref="E143" r:id="rId109"/>
    <hyperlink ref="E144" r:id="rId110"/>
    <hyperlink ref="E145" r:id="rId111"/>
    <hyperlink ref="E147" r:id="rId112"/>
    <hyperlink ref="E146" r:id="rId113"/>
    <hyperlink ref="E195" r:id="rId114"/>
    <hyperlink ref="E194" r:id="rId115"/>
    <hyperlink ref="E196" r:id="rId116"/>
    <hyperlink ref="E197" r:id="rId117"/>
    <hyperlink ref="E351" r:id="rId118"/>
    <hyperlink ref="E349" r:id="rId119"/>
    <hyperlink ref="E437" r:id="rId120"/>
    <hyperlink ref="E75" r:id="rId121"/>
    <hyperlink ref="E77" r:id="rId122"/>
    <hyperlink ref="E463" r:id="rId123"/>
    <hyperlink ref="E464" r:id="rId124"/>
    <hyperlink ref="E462" r:id="rId125"/>
    <hyperlink ref="E465" r:id="rId126"/>
    <hyperlink ref="E166" r:id="rId127"/>
    <hyperlink ref="E167" r:id="rId128"/>
    <hyperlink ref="E168" r:id="rId129"/>
    <hyperlink ref="E256" r:id="rId130"/>
    <hyperlink ref="E257" r:id="rId131" display="https://research.ebsco.com/c/fcl55w/search/details/yaytmgn5bb?db=e000xww%2Cnlebk%2Cagp%2Cofm%2Cddu&amp;limiters=None&amp;q=The%20SLP%20Entrepreneur%3A%20The%20Speech-Language%20Pathologist%E2%80%99s%20Guide%20to%20Private%20Practice%20and%20Other%20Business%20Ventures"/>
    <hyperlink ref="E300" r:id="rId132"/>
    <hyperlink ref="E311" r:id="rId133"/>
    <hyperlink ref="E312" r:id="rId134" display="https://research.ebsco.com/c/fcl55w/search/details/dtfqh56dij?db=e000xww%2Cnlebk%2Cagp%2Cofm%2Cddu&amp;limiters=None&amp;q=Learning%20ArcGIS%20Pro%202%20%3A%20A%20Beginner%27s%20Guide%20to%20Creating%202D%20and%203D%20Maps%20and%20Editing%20Geospatial%20Data%20with%20ArcGIS%20Pro%2C%202nd%20Edition"/>
    <hyperlink ref="E313" r:id="rId135"/>
    <hyperlink ref="E337" r:id="rId136"/>
    <hyperlink ref="E338" r:id="rId137"/>
    <hyperlink ref="E343" r:id="rId138" display="https://research.ebsco.com/c/fcl55w/search/details/msfa5seu4f?db=e000xww%2Cnlebk%2Cagp%2Cofm%2Cddu&amp;limiters=DT1%3A2019-12-03%2F2024-12-03&amp;q=Sustainable%20Natural%20Resource%20Management%20in%20the%20Himalayan%20Region%3A%20Livelihood%20and%20Climate%20Change"/>
    <hyperlink ref="E342" r:id="rId139"/>
    <hyperlink ref="E365" r:id="rId140"/>
    <hyperlink ref="E367" r:id="rId141"/>
    <hyperlink ref="E391" r:id="rId142"/>
    <hyperlink ref="E389" r:id="rId143"/>
    <hyperlink ref="E398" r:id="rId144"/>
    <hyperlink ref="E413" r:id="rId145"/>
    <hyperlink ref="E415" r:id="rId146"/>
    <hyperlink ref="E416" r:id="rId147"/>
    <hyperlink ref="E186" r:id="rId148"/>
    <hyperlink ref="E185" r:id="rId149"/>
    <hyperlink ref="E258" r:id="rId150" tooltip="https://research.ebsco.com/c/fcl55w/search/details/m2ckghspnf?db=e000xww,nlebk,agp,ofm,ddu&amp;limiters=DT1:2019-11-26/2024-11-26&amp;q=Entrepreneurship as Empowerment"/>
    <hyperlink ref="E259" r:id="rId151" tooltip="https://research.ebsco.com/c/fcl55w/search/details/3624pvjpnn?db=e000xww,nlebk,agp,ofm,ddu&amp;limiters=DT1:2019-11-26/2024-11-26&amp;q=Sustainable Entrepreneurship"/>
    <hyperlink ref="E260" r:id="rId152" tooltip="https://research.ebsco.com/c/fcl55w/search/details/xjozq7vmyn?db=e000xww,nlebk,agp,ofm,ddu&amp;limiters=DT1:2019-11-26/2024-11-26&amp;q=Entrepreneurship and Behavioral Strategy"/>
    <hyperlink ref="E249" r:id="rId153" tooltip="https://research.ebsco.com/c/fcl55w/search/details/uoypyvdtm5?db=e000xww,nlebk,agp,ofm,ddu&amp;limiters=DT1:2019-12-03/2024-12-03&amp;q=A Manual for the Identification of Plant Seeds and Fruits : Second Revised Edition"/>
    <hyperlink ref="E302" r:id="rId154" tooltip="https://research.ebsco.com/c/fcl55w/search/results?q=Unsaturated Soils: Behavior, Mechanics and Conditions&amp;autocorrect=y&amp;db=e000xww,nlebk,agp,ofm,ddu&amp;expanders=concept&amp;facetFilter=sourceTypes:NDMyQks=&amp;limiters=DT1:2014-11-27/2024-11-27&amp;resetPageNumber=tru" display="https://research.ebsco.com/c/fcl55w/search/results?q=Unsaturated%20Soils%3A%20Behavior%2C%20Mechanics%20and%20Conditions&amp;autocorrect=y&amp;db=e000xww%2Cnlebk%2Cagp%2Cofm%2Cddu&amp;expanders=concept&amp;facetFilter=sourceTypes%3ANDMyQks%3D&amp;limiters=DT1%3A2014-11-27%2F2024-11-27&amp;resetPageNumber=true&amp;searchMode=boolean&amp;searchSegment=all-results"/>
    <hyperlink ref="E301" r:id="rId155"/>
    <hyperlink ref="E310" r:id="rId156"/>
    <hyperlink ref="E319" r:id="rId157" display="https://research.ebsco.com/c/fcl55w/search/details/i2mfc6riez?db=e000xww%2Cnlebk%2Cagp%2Cofm%2Cddu&amp;limiters=DT1%3A2019-12-03%2F2024-12-03&amp;q=Social%20Stratification%20in%20the%20United%20States%20%3A%20The%20American%20Profile%20Poster%20of%20Who%20Owns%20What%2C%20Who%20Makes%20How%20Much%2C%20and%20Who%20Works%20Where"/>
    <hyperlink ref="E407" r:id="rId158"/>
    <hyperlink ref="E408" r:id="rId159"/>
    <hyperlink ref="E414" r:id="rId160"/>
    <hyperlink ref="E479" r:id="rId161"/>
    <hyperlink ref="E480" r:id="rId162"/>
    <hyperlink ref="E485" r:id="rId163"/>
    <hyperlink ref="E486" r:id="rId164"/>
    <hyperlink ref="E491" r:id="rId165"/>
    <hyperlink ref="E492" r:id="rId166"/>
    <hyperlink ref="E493" r:id="rId167"/>
    <hyperlink ref="E494" r:id="rId168"/>
    <hyperlink ref="E507" r:id="rId169"/>
    <hyperlink ref="E508" r:id="rId170" display="https://research.ebsco.com/c/fcl55w/search/details/msfa5seu4f?db=e000xww%2Cnlebk%2Cagp%2Cofm%2Cddu&amp;limiters=DT1%3A2019-12-03%2F2024-12-03&amp;q=Sustainable%20Natural%20Resource%20Management%20in%20the%20Himalayan%20Region%3A%20Livelihood%20and%20Climate%20Change"/>
    <hyperlink ref="E266" r:id="rId171"/>
  </hyperlinks>
  <pageMargins left="0.25" right="0.25" top="0.75" bottom="0.75" header="0.3" footer="0.3"/>
  <pageSetup paperSize="9" orientation="landscape" r:id="rId172"/>
  <drawing r:id="rId17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Collection Profile Template</vt:lpstr>
      <vt:lpstr>List of Library Holdings Temp</vt:lpstr>
      <vt:lpstr>5 Year Edition Template</vt:lpstr>
      <vt:lpstr>'List of Library Holdings Temp'!citation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library</cp:lastModifiedBy>
  <cp:lastPrinted>2024-12-05T09:19:38Z</cp:lastPrinted>
  <dcterms:created xsi:type="dcterms:W3CDTF">2021-06-09T02:23:00Z</dcterms:created>
  <dcterms:modified xsi:type="dcterms:W3CDTF">2025-04-19T02:25:46Z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A52F240A351C4E2387EE98A5B22EE9A7_12</vt:lpwstr>
  </property>
  <property fmtid="{D5CDD505-2E9C-101B-9397-08002B2CF9AE}" pid="3" name="KSOProductBuildVer">
    <vt:lpwstr>1033-12.2.0.18911</vt:lpwstr>
  </property>
</Properties>
</file>